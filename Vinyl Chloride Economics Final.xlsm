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drawings/drawing9.xml" ContentType="application/vnd.openxmlformats-officedocument.drawing+xml"/>
  <Override PartName="/xl/charts/chart6.xml" ContentType="application/vnd.openxmlformats-officedocument.drawingml.chart+xml"/>
  <Override PartName="/xl/drawings/drawing10.xml" ContentType="application/vnd.openxmlformats-officedocument.drawing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14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erastdavidjuk/Desktop/"/>
    </mc:Choice>
  </mc:AlternateContent>
  <xr:revisionPtr revIDLastSave="0" documentId="13_ncr:1_{B9E3BC3F-F073-714A-B081-7C96930A821F}" xr6:coauthVersionLast="47" xr6:coauthVersionMax="47" xr10:uidLastSave="{00000000-0000-0000-0000-000000000000}"/>
  <bookViews>
    <workbookView xWindow="0" yWindow="500" windowWidth="28800" windowHeight="15480" tabRatio="594" activeTab="6" xr2:uid="{00000000-000D-0000-FFFF-FFFF00000000}"/>
  </bookViews>
  <sheets>
    <sheet name="CAPITAL COST" sheetId="1" r:id="rId1"/>
    <sheet name="VARIABLE COST" sheetId="2" r:id="rId2"/>
    <sheet name="FIXED COST" sheetId="3" r:id="rId3"/>
    <sheet name="CASH FLOW" sheetId="4" r:id="rId4"/>
    <sheet name="CASH CHART" sheetId="69" r:id="rId5"/>
    <sheet name="CUMULATIVE CASH FLOW" sheetId="70" r:id="rId6"/>
    <sheet name="TDC vs NPV C3" sheetId="80" r:id="rId7"/>
    <sheet name="TVC vs NPV C4" sheetId="82" r:id="rId8"/>
    <sheet name="kWh vs ROI C2" sheetId="78" r:id="rId9"/>
    <sheet name="TDC vs ROI C1" sheetId="74" r:id="rId10"/>
    <sheet name="TVC vs ROI C5" sheetId="84" r:id="rId11"/>
    <sheet name="S1" sheetId="73" r:id="rId12"/>
    <sheet name="S2" sheetId="77" r:id="rId13"/>
    <sheet name="S3" sheetId="79" r:id="rId14"/>
    <sheet name="S4" sheetId="81" r:id="rId15"/>
    <sheet name="S5" sheetId="83" r:id="rId16"/>
  </sheets>
  <definedNames>
    <definedName name="AnnCap">'CAPITAL COST'!$B$9</definedName>
    <definedName name="CAP">'CASH FLOW'!$D$11</definedName>
    <definedName name="Days">'CASH FLOW'!$B$35</definedName>
    <definedName name="FIXED">'FIXED COST'!$I$39</definedName>
    <definedName name="GUESS">'CASH FLOW'!$C$53</definedName>
    <definedName name="HourCap">'CAPITAL COST'!$B$10</definedName>
    <definedName name="IncomeTax">'CASH FLOW'!$B$41</definedName>
    <definedName name="INFL">'CASH FLOW'!$G$11</definedName>
    <definedName name="INVENTORY">'CAPITAL COST'!$H$107</definedName>
    <definedName name="INVEST">'CAPITAL COST'!$J$95</definedName>
    <definedName name="LangFactorTable">'CAPITAL COST'!$B$135:$E$149</definedName>
    <definedName name="NPV_MACRO">'CASH FLOW'!$F$53</definedName>
    <definedName name="OpHours">'CAPITAL COST'!$C$8</definedName>
    <definedName name="ProcessingType">'CAPITAL COST'!$B$130:$C$132</definedName>
    <definedName name="Product">'CAPITAL COST'!$B$6</definedName>
    <definedName name="replace_factor">'CASH FLOW'!$C$19</definedName>
    <definedName name="ROIFIXED">'FIXED COST'!$I$46</definedName>
    <definedName name="salvage">'CASH FLOW'!$D$17</definedName>
    <definedName name="salvage_perct">'CASH FLOW'!$D$16</definedName>
    <definedName name="SELL">'CASH FLOW'!$D$13</definedName>
    <definedName name="SiteFactor">'CAPITAL COST'!$B$114:$C$123</definedName>
    <definedName name="Sites">'CAPITAL COST'!$B$114:$B$123</definedName>
    <definedName name="solver_cvg" localSheetId="3" hidden="1">0.001</definedName>
    <definedName name="solver_drv" localSheetId="3" hidden="1">1</definedName>
    <definedName name="solver_est" localSheetId="3" hidden="1">1</definedName>
    <definedName name="solver_itr" localSheetId="3" hidden="1">100</definedName>
    <definedName name="solver_lhs1" localSheetId="3" hidden="1">'CASH FLOW'!$D$13</definedName>
    <definedName name="solver_lhs2" localSheetId="3" hidden="1">'CASH FLOW'!$D$13</definedName>
    <definedName name="solver_lin" localSheetId="3" hidden="1">2</definedName>
    <definedName name="solver_neg" localSheetId="3" hidden="1">2</definedName>
    <definedName name="solver_num" localSheetId="3" hidden="1">0</definedName>
    <definedName name="solver_nwt" localSheetId="3" hidden="1">1</definedName>
    <definedName name="solver_pre" localSheetId="3" hidden="1">0.000001</definedName>
    <definedName name="solver_rel1" localSheetId="3" hidden="1">3</definedName>
    <definedName name="solver_rel2" localSheetId="3" hidden="1">3</definedName>
    <definedName name="solver_rhs1" localSheetId="3" hidden="1">0</definedName>
    <definedName name="solver_rhs2" localSheetId="3" hidden="1">0</definedName>
    <definedName name="solver_scl" localSheetId="3" hidden="1">2</definedName>
    <definedName name="solver_sho" localSheetId="3" hidden="1">2</definedName>
    <definedName name="solver_tim" localSheetId="3" hidden="1">100</definedName>
    <definedName name="solver_tol" localSheetId="3" hidden="1">0.05</definedName>
    <definedName name="solver_typ" localSheetId="3" hidden="1">1</definedName>
    <definedName name="solver_val" localSheetId="3" hidden="1">0</definedName>
    <definedName name="Spares">'CAPITAL COST'!$H$109</definedName>
    <definedName name="SPINFL">'CASH FLOW'!$G$12</definedName>
    <definedName name="TARGET">'CASH FLOW'!$C$55</definedName>
    <definedName name="TOTINVEST">'CASH FLOW'!$D$12</definedName>
    <definedName name="Units">'CAPITAL COST'!$C$7</definedName>
    <definedName name="VARIABLE">'VARIABLE COST'!$I$51</definedName>
    <definedName name="WORKCAP">'CAPITAL COST'!$H$111</definedName>
    <definedName name="YEAR1">'CASH FLOW'!$K$50</definedName>
    <definedName name="YEAR2">'CASH FLOW'!$K$51</definedName>
    <definedName name="YEAR3">'CASH FLOW'!$K$52</definedName>
    <definedName name="YEAR4">'CASH FLOW'!$K$53</definedName>
    <definedName name="YEAR5">'CASH FLOW'!$K$54</definedName>
    <definedName name="YEAR6">'CASH FLOW'!$K$55</definedName>
    <definedName name="yr1_replace_factor">'CASH FLOW'!$C$20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3" i="2" l="1"/>
  <c r="H14" i="2"/>
  <c r="H15" i="2"/>
  <c r="H16" i="2"/>
  <c r="H17" i="2"/>
  <c r="H18" i="2"/>
  <c r="H19" i="2"/>
  <c r="H20" i="2"/>
  <c r="I21" i="2"/>
  <c r="H24" i="2"/>
  <c r="O55" i="2"/>
  <c r="O56" i="2"/>
  <c r="F25" i="2"/>
  <c r="H25" i="2"/>
  <c r="O46" i="2"/>
  <c r="O47" i="2"/>
  <c r="F26" i="2"/>
  <c r="H26" i="2"/>
  <c r="H27" i="2"/>
  <c r="H28" i="2"/>
  <c r="H29" i="2"/>
  <c r="O40" i="2"/>
  <c r="F30" i="2"/>
  <c r="H30" i="2"/>
  <c r="H31" i="2"/>
  <c r="H32" i="2"/>
  <c r="I33" i="2"/>
  <c r="H36" i="2"/>
  <c r="H37" i="2"/>
  <c r="H38" i="2"/>
  <c r="H39" i="2"/>
  <c r="I40" i="2"/>
  <c r="I46" i="2"/>
  <c r="I50" i="2"/>
  <c r="B10" i="1"/>
  <c r="B9" i="1"/>
  <c r="D8" i="2"/>
  <c r="I51" i="2"/>
  <c r="O69" i="1"/>
  <c r="O70" i="1"/>
  <c r="O71" i="1"/>
  <c r="D52" i="1"/>
  <c r="H52" i="1"/>
  <c r="AC48" i="1"/>
  <c r="D53" i="1"/>
  <c r="H53" i="1"/>
  <c r="H54" i="1"/>
  <c r="O93" i="1"/>
  <c r="O94" i="1"/>
  <c r="O95" i="1"/>
  <c r="D55" i="1"/>
  <c r="H55" i="1"/>
  <c r="W60" i="1"/>
  <c r="W52" i="1"/>
  <c r="W58" i="1"/>
  <c r="W62" i="1"/>
  <c r="V63" i="1"/>
  <c r="W64" i="1"/>
  <c r="W57" i="1"/>
  <c r="W65" i="1"/>
  <c r="W77" i="1"/>
  <c r="W75" i="1"/>
  <c r="W79" i="1"/>
  <c r="V80" i="1"/>
  <c r="W81" i="1"/>
  <c r="W74" i="1"/>
  <c r="W82" i="1"/>
  <c r="W94" i="1"/>
  <c r="W92" i="1"/>
  <c r="W96" i="1"/>
  <c r="V97" i="1"/>
  <c r="W98" i="1"/>
  <c r="W91" i="1"/>
  <c r="W99" i="1"/>
  <c r="W111" i="1"/>
  <c r="W109" i="1"/>
  <c r="W113" i="1"/>
  <c r="V114" i="1"/>
  <c r="W115" i="1"/>
  <c r="W108" i="1"/>
  <c r="W116" i="1"/>
  <c r="W48" i="1"/>
  <c r="D56" i="1"/>
  <c r="H56" i="1"/>
  <c r="D57" i="1"/>
  <c r="H57" i="1"/>
  <c r="F58" i="1"/>
  <c r="D58" i="1"/>
  <c r="H58" i="1"/>
  <c r="H59" i="1"/>
  <c r="H60" i="1"/>
  <c r="H61" i="1"/>
  <c r="H62" i="1"/>
  <c r="H64" i="1"/>
  <c r="J65" i="1"/>
  <c r="J67" i="1"/>
  <c r="H76" i="1"/>
  <c r="E78" i="1"/>
  <c r="H78" i="1"/>
  <c r="E79" i="1"/>
  <c r="H79" i="1"/>
  <c r="H80" i="1"/>
  <c r="H81" i="1"/>
  <c r="H83" i="1"/>
  <c r="H84" i="1"/>
  <c r="H23" i="1"/>
  <c r="H24" i="1"/>
  <c r="J25" i="1"/>
  <c r="D30" i="1"/>
  <c r="C31" i="1"/>
  <c r="D31" i="1"/>
  <c r="C32" i="1"/>
  <c r="D32" i="1"/>
  <c r="C33" i="1"/>
  <c r="D33" i="1"/>
  <c r="C34" i="1"/>
  <c r="D34" i="1"/>
  <c r="C35" i="1"/>
  <c r="D35" i="1"/>
  <c r="C36" i="1"/>
  <c r="D36" i="1"/>
  <c r="C37" i="1"/>
  <c r="D37" i="1"/>
  <c r="D38" i="1"/>
  <c r="C39" i="1"/>
  <c r="D39" i="1"/>
  <c r="C40" i="1"/>
  <c r="D40" i="1"/>
  <c r="D41" i="1"/>
  <c r="C42" i="1"/>
  <c r="D42" i="1"/>
  <c r="C43" i="1"/>
  <c r="D43" i="1"/>
  <c r="D45" i="1"/>
  <c r="H86" i="1"/>
  <c r="J89" i="1"/>
  <c r="J90" i="1"/>
  <c r="J91" i="1"/>
  <c r="J92" i="1"/>
  <c r="J93" i="1"/>
  <c r="J94" i="1"/>
  <c r="J95" i="1"/>
  <c r="F26" i="4"/>
  <c r="I21" i="3"/>
  <c r="H22" i="3"/>
  <c r="H14" i="3"/>
  <c r="H16" i="3"/>
  <c r="I26" i="3"/>
  <c r="I27" i="3"/>
  <c r="H30" i="3"/>
  <c r="H31" i="3"/>
  <c r="I32" i="3"/>
  <c r="I35" i="3"/>
  <c r="H15" i="3"/>
  <c r="I17" i="3"/>
  <c r="I18" i="3"/>
  <c r="I37" i="3"/>
  <c r="I39" i="3"/>
  <c r="F29" i="4"/>
  <c r="D12" i="4"/>
  <c r="F30" i="4"/>
  <c r="F37" i="4"/>
  <c r="F28" i="4"/>
  <c r="F39" i="4"/>
  <c r="F41" i="4"/>
  <c r="F35" i="4"/>
  <c r="F42" i="4"/>
  <c r="F32" i="4"/>
  <c r="F44" i="4"/>
  <c r="G26" i="4"/>
  <c r="G29" i="4"/>
  <c r="G30" i="4"/>
  <c r="G28" i="4"/>
  <c r="G39" i="4"/>
  <c r="G41" i="4"/>
  <c r="G35" i="4"/>
  <c r="G42" i="4"/>
  <c r="G32" i="4"/>
  <c r="G44" i="4"/>
  <c r="H26" i="4"/>
  <c r="H29" i="4"/>
  <c r="H30" i="4"/>
  <c r="H28" i="4"/>
  <c r="H39" i="4"/>
  <c r="H41" i="4"/>
  <c r="H35" i="4"/>
  <c r="H42" i="4"/>
  <c r="H32" i="4"/>
  <c r="H44" i="4"/>
  <c r="I26" i="4"/>
  <c r="I29" i="4"/>
  <c r="I30" i="4"/>
  <c r="I28" i="4"/>
  <c r="I39" i="4"/>
  <c r="I41" i="4"/>
  <c r="I35" i="4"/>
  <c r="I42" i="4"/>
  <c r="I32" i="4"/>
  <c r="I44" i="4"/>
  <c r="J26" i="4"/>
  <c r="J29" i="4"/>
  <c r="J30" i="4"/>
  <c r="J28" i="4"/>
  <c r="J39" i="4"/>
  <c r="J41" i="4"/>
  <c r="J35" i="4"/>
  <c r="J42" i="4"/>
  <c r="J32" i="4"/>
  <c r="J44" i="4"/>
  <c r="K26" i="4"/>
  <c r="K29" i="4"/>
  <c r="K30" i="4"/>
  <c r="K28" i="4"/>
  <c r="K39" i="4"/>
  <c r="K41" i="4"/>
  <c r="K35" i="4"/>
  <c r="K42" i="4"/>
  <c r="K32" i="4"/>
  <c r="K44" i="4"/>
  <c r="L26" i="4"/>
  <c r="L29" i="4"/>
  <c r="L30" i="4"/>
  <c r="L28" i="4"/>
  <c r="L39" i="4"/>
  <c r="L41" i="4"/>
  <c r="L35" i="4"/>
  <c r="L42" i="4"/>
  <c r="L32" i="4"/>
  <c r="L44" i="4"/>
  <c r="M26" i="4"/>
  <c r="M29" i="4"/>
  <c r="M30" i="4"/>
  <c r="M28" i="4"/>
  <c r="M39" i="4"/>
  <c r="M41" i="4"/>
  <c r="M35" i="4"/>
  <c r="M42" i="4"/>
  <c r="M32" i="4"/>
  <c r="M44" i="4"/>
  <c r="N26" i="4"/>
  <c r="N29" i="4"/>
  <c r="N30" i="4"/>
  <c r="N28" i="4"/>
  <c r="N39" i="4"/>
  <c r="N41" i="4"/>
  <c r="N35" i="4"/>
  <c r="N42" i="4"/>
  <c r="N32" i="4"/>
  <c r="N44" i="4"/>
  <c r="O26" i="4"/>
  <c r="O29" i="4"/>
  <c r="O30" i="4"/>
  <c r="O28" i="4"/>
  <c r="O39" i="4"/>
  <c r="O41" i="4"/>
  <c r="O35" i="4"/>
  <c r="O42" i="4"/>
  <c r="O32" i="4"/>
  <c r="O44" i="4"/>
  <c r="P26" i="4"/>
  <c r="P29" i="4"/>
  <c r="P30" i="4"/>
  <c r="P28" i="4"/>
  <c r="P39" i="4"/>
  <c r="P41" i="4"/>
  <c r="P35" i="4"/>
  <c r="P42" i="4"/>
  <c r="P32" i="4"/>
  <c r="P44" i="4"/>
  <c r="Q26" i="4"/>
  <c r="Q29" i="4"/>
  <c r="Q30" i="4"/>
  <c r="Q28" i="4"/>
  <c r="Q39" i="4"/>
  <c r="Q41" i="4"/>
  <c r="Q35" i="4"/>
  <c r="Q42" i="4"/>
  <c r="Q32" i="4"/>
  <c r="Q44" i="4"/>
  <c r="R26" i="4"/>
  <c r="R29" i="4"/>
  <c r="R30" i="4"/>
  <c r="R28" i="4"/>
  <c r="R39" i="4"/>
  <c r="R41" i="4"/>
  <c r="R35" i="4"/>
  <c r="R42" i="4"/>
  <c r="R32" i="4"/>
  <c r="R44" i="4"/>
  <c r="S26" i="4"/>
  <c r="S29" i="4"/>
  <c r="S30" i="4"/>
  <c r="S28" i="4"/>
  <c r="S39" i="4"/>
  <c r="S41" i="4"/>
  <c r="S35" i="4"/>
  <c r="S42" i="4"/>
  <c r="S32" i="4"/>
  <c r="S44" i="4"/>
  <c r="T26" i="4"/>
  <c r="T29" i="4"/>
  <c r="T30" i="4"/>
  <c r="T28" i="4"/>
  <c r="T39" i="4"/>
  <c r="T41" i="4"/>
  <c r="T35" i="4"/>
  <c r="T42" i="4"/>
  <c r="T32" i="4"/>
  <c r="T44" i="4"/>
  <c r="U26" i="4"/>
  <c r="U29" i="4"/>
  <c r="U30" i="4"/>
  <c r="U28" i="4"/>
  <c r="U39" i="4"/>
  <c r="U41" i="4"/>
  <c r="U35" i="4"/>
  <c r="U42" i="4"/>
  <c r="U32" i="4"/>
  <c r="U44" i="4"/>
  <c r="V26" i="4"/>
  <c r="V29" i="4"/>
  <c r="V30" i="4"/>
  <c r="V28" i="4"/>
  <c r="V39" i="4"/>
  <c r="V41" i="4"/>
  <c r="V35" i="4"/>
  <c r="V42" i="4"/>
  <c r="V32" i="4"/>
  <c r="V44" i="4"/>
  <c r="W26" i="4"/>
  <c r="W29" i="4"/>
  <c r="W30" i="4"/>
  <c r="W28" i="4"/>
  <c r="W39" i="4"/>
  <c r="W41" i="4"/>
  <c r="W35" i="4"/>
  <c r="W42" i="4"/>
  <c r="W32" i="4"/>
  <c r="W44" i="4"/>
  <c r="X26" i="4"/>
  <c r="X29" i="4"/>
  <c r="X30" i="4"/>
  <c r="X28" i="4"/>
  <c r="X39" i="4"/>
  <c r="X41" i="4"/>
  <c r="X35" i="4"/>
  <c r="X42" i="4"/>
  <c r="X32" i="4"/>
  <c r="X44" i="4"/>
  <c r="Y26" i="4"/>
  <c r="Y29" i="4"/>
  <c r="Y30" i="4"/>
  <c r="Y28" i="4"/>
  <c r="Y39" i="4"/>
  <c r="Y41" i="4"/>
  <c r="Y35" i="4"/>
  <c r="Y42" i="4"/>
  <c r="Y32" i="4"/>
  <c r="Y44" i="4"/>
  <c r="Z26" i="4"/>
  <c r="Z29" i="4"/>
  <c r="Z30" i="4"/>
  <c r="Z28" i="4"/>
  <c r="Z39" i="4"/>
  <c r="Z41" i="4"/>
  <c r="Z35" i="4"/>
  <c r="Z42" i="4"/>
  <c r="Z32" i="4"/>
  <c r="Z44" i="4"/>
  <c r="AA26" i="4"/>
  <c r="AA29" i="4"/>
  <c r="AA30" i="4"/>
  <c r="AA28" i="4"/>
  <c r="AA39" i="4"/>
  <c r="AA41" i="4"/>
  <c r="AA35" i="4"/>
  <c r="AA42" i="4"/>
  <c r="AA32" i="4"/>
  <c r="AA44" i="4"/>
  <c r="AB26" i="4"/>
  <c r="AB29" i="4"/>
  <c r="AB30" i="4"/>
  <c r="AB28" i="4"/>
  <c r="AB39" i="4"/>
  <c r="AB41" i="4"/>
  <c r="AB35" i="4"/>
  <c r="AB42" i="4"/>
  <c r="AB32" i="4"/>
  <c r="AB44" i="4"/>
  <c r="AC26" i="4"/>
  <c r="AC29" i="4"/>
  <c r="AC30" i="4"/>
  <c r="AC28" i="4"/>
  <c r="AC39" i="4"/>
  <c r="AC41" i="4"/>
  <c r="AC35" i="4"/>
  <c r="AC42" i="4"/>
  <c r="AC32" i="4"/>
  <c r="AC44" i="4"/>
  <c r="AD26" i="4"/>
  <c r="AD29" i="4"/>
  <c r="AD30" i="4"/>
  <c r="AD28" i="4"/>
  <c r="AD39" i="4"/>
  <c r="AD41" i="4"/>
  <c r="AD35" i="4"/>
  <c r="AD42" i="4"/>
  <c r="AD32" i="4"/>
  <c r="AD44" i="4"/>
  <c r="AE26" i="4"/>
  <c r="D17" i="4"/>
  <c r="AE27" i="4"/>
  <c r="AE29" i="4"/>
  <c r="AE30" i="4"/>
  <c r="AE28" i="4"/>
  <c r="AE39" i="4"/>
  <c r="AE41" i="4"/>
  <c r="AE35" i="4"/>
  <c r="AE42" i="4"/>
  <c r="AE32" i="4"/>
  <c r="H109" i="1"/>
  <c r="H103" i="1"/>
  <c r="H104" i="1"/>
  <c r="H105" i="1"/>
  <c r="H106" i="1"/>
  <c r="H107" i="1"/>
  <c r="H111" i="1"/>
  <c r="AE34" i="4"/>
  <c r="AE44" i="4"/>
  <c r="C32" i="4"/>
  <c r="C44" i="4"/>
  <c r="D32" i="4"/>
  <c r="D44" i="4"/>
  <c r="E37" i="4"/>
  <c r="E39" i="4"/>
  <c r="E41" i="4"/>
  <c r="E34" i="4"/>
  <c r="E32" i="4"/>
  <c r="E44" i="4"/>
  <c r="B44" i="4"/>
  <c r="C50" i="4"/>
  <c r="F56" i="4"/>
  <c r="C61" i="4"/>
  <c r="I43" i="3"/>
  <c r="I46" i="3"/>
  <c r="C63" i="4"/>
  <c r="C62" i="4"/>
  <c r="C64" i="4"/>
  <c r="C65" i="4"/>
  <c r="C66" i="4"/>
  <c r="C68" i="4"/>
  <c r="G63" i="4"/>
  <c r="O13" i="3"/>
  <c r="O12" i="3"/>
  <c r="O14" i="3"/>
  <c r="O15" i="3"/>
  <c r="O16" i="3"/>
  <c r="O17" i="3"/>
  <c r="O18" i="3"/>
  <c r="O19" i="3"/>
  <c r="T46" i="2"/>
  <c r="O41" i="1"/>
  <c r="O31" i="2"/>
  <c r="O32" i="2"/>
  <c r="O33" i="2"/>
  <c r="O23" i="2"/>
  <c r="O24" i="2"/>
  <c r="O25" i="2"/>
  <c r="F53" i="1"/>
  <c r="AI76" i="1"/>
  <c r="AI68" i="1"/>
  <c r="AI60" i="1"/>
  <c r="AI52" i="1"/>
  <c r="AF76" i="1"/>
  <c r="AF68" i="1"/>
  <c r="AF60" i="1"/>
  <c r="AF52" i="1"/>
  <c r="AC76" i="1"/>
  <c r="AC68" i="1"/>
  <c r="AC60" i="1"/>
  <c r="AC52" i="1"/>
  <c r="Q12" i="2"/>
  <c r="Q14" i="2"/>
  <c r="Q15" i="2"/>
  <c r="Q16" i="2"/>
  <c r="Q17" i="2"/>
  <c r="Q18" i="2"/>
  <c r="Q19" i="2"/>
  <c r="Q11" i="2"/>
  <c r="O13" i="2"/>
  <c r="Q13" i="2"/>
  <c r="O91" i="1"/>
  <c r="O67" i="1"/>
  <c r="X104" i="1"/>
  <c r="X103" i="1"/>
  <c r="X87" i="1"/>
  <c r="X86" i="1"/>
  <c r="X52" i="1"/>
  <c r="X70" i="1"/>
  <c r="X69" i="1"/>
  <c r="X53" i="1"/>
  <c r="N21" i="3"/>
  <c r="N20" i="3"/>
  <c r="N22" i="3"/>
  <c r="F55" i="1"/>
  <c r="S68" i="1"/>
  <c r="S69" i="1"/>
  <c r="S66" i="1"/>
  <c r="S58" i="1"/>
  <c r="S56" i="1"/>
  <c r="F54" i="1"/>
  <c r="N23" i="3"/>
  <c r="M24" i="3"/>
  <c r="O58" i="1"/>
  <c r="O81" i="1"/>
  <c r="O79" i="1"/>
  <c r="O78" i="1"/>
  <c r="O77" i="1"/>
  <c r="O57" i="1"/>
  <c r="O56" i="1"/>
  <c r="O55" i="1"/>
  <c r="O54" i="1"/>
  <c r="L53" i="1"/>
  <c r="L51" i="1"/>
  <c r="J40" i="3"/>
  <c r="E37" i="3"/>
  <c r="E8" i="3"/>
  <c r="J47" i="3"/>
  <c r="J50" i="2"/>
  <c r="F12" i="2"/>
  <c r="H10" i="2"/>
  <c r="E8" i="2"/>
  <c r="C6" i="2"/>
  <c r="E106" i="1"/>
  <c r="E105" i="1"/>
  <c r="E104" i="1"/>
  <c r="E103" i="1"/>
  <c r="C10" i="1"/>
  <c r="C9" i="1"/>
  <c r="H5" i="1"/>
  <c r="D10" i="3"/>
  <c r="H23" i="3"/>
  <c r="B45" i="4"/>
  <c r="C45" i="4"/>
  <c r="D45" i="4"/>
  <c r="E45" i="4"/>
  <c r="D8" i="3"/>
  <c r="I40" i="3"/>
  <c r="I47" i="3"/>
  <c r="F45" i="4"/>
  <c r="G45" i="4"/>
  <c r="G6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51" i="4"/>
  <c r="C54" i="4"/>
  <c r="F53" i="4"/>
  <c r="AD45" i="4"/>
  <c r="AE45" i="4"/>
</calcChain>
</file>

<file path=xl/sharedStrings.xml><?xml version="1.0" encoding="utf-8"?>
<sst xmlns="http://schemas.openxmlformats.org/spreadsheetml/2006/main" count="800" uniqueCount="413">
  <si>
    <t>=User Input</t>
  </si>
  <si>
    <t>=Calc by Computer</t>
  </si>
  <si>
    <t>Title:</t>
  </si>
  <si>
    <t>Date:</t>
  </si>
  <si>
    <t>Capacity:</t>
  </si>
  <si>
    <t>Site:</t>
  </si>
  <si>
    <t>Item</t>
  </si>
  <si>
    <t>Subtotal</t>
  </si>
  <si>
    <t>Enter cost of Land into cell B22 on Cash Flow sheet.</t>
  </si>
  <si>
    <t>Cost</t>
  </si>
  <si>
    <t>Misc Equipment</t>
  </si>
  <si>
    <t>Equipment at Bare Module Level</t>
  </si>
  <si>
    <t>Factor</t>
  </si>
  <si>
    <t>Contingency</t>
  </si>
  <si>
    <t>EQUIP</t>
  </si>
  <si>
    <t>Total (Current $$, USGC)</t>
  </si>
  <si>
    <t>Site Factor</t>
  </si>
  <si>
    <t xml:space="preserve"> of USGC Total</t>
  </si>
  <si>
    <t>Inflation</t>
  </si>
  <si>
    <t xml:space="preserve"> for</t>
  </si>
  <si>
    <t>yrs</t>
  </si>
  <si>
    <t>Scope Growth</t>
  </si>
  <si>
    <t>Total Project-Level Cost</t>
  </si>
  <si>
    <t>SAY</t>
  </si>
  <si>
    <t>WORKING CAPITAL</t>
  </si>
  <si>
    <t>Quantity</t>
  </si>
  <si>
    <t>Units</t>
  </si>
  <si>
    <t>Price</t>
  </si>
  <si>
    <t>Total</t>
  </si>
  <si>
    <t>of Investment</t>
  </si>
  <si>
    <t>OPERATING COST ESTIMATE</t>
  </si>
  <si>
    <t>VARIABLE COST</t>
  </si>
  <si>
    <t>=USER INPUT</t>
  </si>
  <si>
    <t>=CALC BY COMPUTER</t>
  </si>
  <si>
    <t>PRODUCT:</t>
  </si>
  <si>
    <t>ANNUAL CAPACITY:</t>
  </si>
  <si>
    <t>INGREDIENTS:</t>
  </si>
  <si>
    <t>UNIT OF</t>
  </si>
  <si>
    <t>COST PER</t>
  </si>
  <si>
    <t>UNITS OF</t>
  </si>
  <si>
    <t>MEASURE</t>
  </si>
  <si>
    <t>UNIT</t>
  </si>
  <si>
    <t>INGRED/</t>
  </si>
  <si>
    <t>of PRODUCT ($)</t>
  </si>
  <si>
    <t>($)</t>
  </si>
  <si>
    <t>SUBTOTAL INGREDIENTS</t>
  </si>
  <si>
    <t>UTILITIES:</t>
  </si>
  <si>
    <t>lb</t>
  </si>
  <si>
    <t>gal</t>
  </si>
  <si>
    <t>kWh</t>
  </si>
  <si>
    <t>SUBTOTAL UTILITIES</t>
  </si>
  <si>
    <t>CATALYSTS &amp; CHEMICALS</t>
  </si>
  <si>
    <t>CATALYST</t>
  </si>
  <si>
    <t>CHEMICAL 1</t>
  </si>
  <si>
    <t>CHEMICAL 2</t>
  </si>
  <si>
    <t>CHEMICAL 3</t>
  </si>
  <si>
    <t>SUBTOTAL CATALYSTS &amp; CHEMICALS</t>
  </si>
  <si>
    <t>PACKAGING MATERIALS</t>
  </si>
  <si>
    <t>PACKAGING LABOR</t>
  </si>
  <si>
    <t>OTHER VARIABLE COSTS</t>
  </si>
  <si>
    <t>TOTAL VARIABLE COST</t>
  </si>
  <si>
    <t>FIXED COST</t>
  </si>
  <si>
    <t>OPERATING LABOR &amp; BENEFITS:</t>
  </si>
  <si>
    <t>ANNUAL COST</t>
  </si>
  <si>
    <t>NO. of OPERATORS:</t>
  </si>
  <si>
    <t>ANNUAL WAGES</t>
  </si>
  <si>
    <t>EMPL. BENEFITS @</t>
  </si>
  <si>
    <t>of WAGES</t>
  </si>
  <si>
    <t>OPERATING SUPERVISION @</t>
  </si>
  <si>
    <t>SUBTOTAL OPERATING LABOR:</t>
  </si>
  <si>
    <t>OPERATING SUPPLIES:</t>
  </si>
  <si>
    <t>MAINTENANCE:</t>
  </si>
  <si>
    <t>TOTAL MAINTENANCE @</t>
  </si>
  <si>
    <t>OF INVESTMENT</t>
  </si>
  <si>
    <t>MAINTENANCE LABOR@</t>
  </si>
  <si>
    <t>of TOTAL MAINT.</t>
  </si>
  <si>
    <t>MAINTENANCE MATERIAL @</t>
  </si>
  <si>
    <t>OVERHEAD:</t>
  </si>
  <si>
    <t>GEN. OH @</t>
  </si>
  <si>
    <t>of (OPR. WAGES + MAINT LABOR + OPR. SUPRV.)</t>
  </si>
  <si>
    <t>LAB &amp;TECHNICAL SUPPORT @</t>
  </si>
  <si>
    <t>of INVESTMENT</t>
  </si>
  <si>
    <t>CORPORATE OVERHEAD:</t>
  </si>
  <si>
    <t>SALES &amp; ADMINISTRATION</t>
  </si>
  <si>
    <t>RESEARCH &amp; DEVELOPMNT</t>
  </si>
  <si>
    <t>SUBTOTAL CORPORATE OVERHEAD................................................................</t>
  </si>
  <si>
    <t>INSURANCE &amp; LOCAL TAXES:</t>
  </si>
  <si>
    <t>ROYALTIES:</t>
  </si>
  <si>
    <t>TOTAL FIXED COST (for cash flow calculations):</t>
  </si>
  <si>
    <t>DEPRECIATION:</t>
  </si>
  <si>
    <t>TOTAL FIXED COST (for ROI calculations):</t>
  </si>
  <si>
    <t>CASH FLOW ANALYSIS</t>
  </si>
  <si>
    <t>USER INPUT</t>
  </si>
  <si>
    <t>INCOME</t>
  </si>
  <si>
    <t>OPERATING COST</t>
  </si>
  <si>
    <t>CAPITAL COST</t>
  </si>
  <si>
    <t>COST OF CAPITAL =</t>
  </si>
  <si>
    <t>INFLATION =</t>
  </si>
  <si>
    <t>INCOME IS +, EXPENSES ARE -</t>
  </si>
  <si>
    <t>per Unit</t>
  </si>
  <si>
    <t>DESIGN</t>
  </si>
  <si>
    <t>% OF CAPACITY</t>
  </si>
  <si>
    <t>DEPRECIATION</t>
  </si>
  <si>
    <t>LAND</t>
  </si>
  <si>
    <t>STARTUP COST</t>
  </si>
  <si>
    <t>GROSS INCOME</t>
  </si>
  <si>
    <t>INCOME TAX</t>
  </si>
  <si>
    <t>NET CASH FLOW</t>
  </si>
  <si>
    <t>NPV =</t>
  </si>
  <si>
    <t>YEAR1</t>
  </si>
  <si>
    <t>YEAR2</t>
  </si>
  <si>
    <t>YEAR3</t>
  </si>
  <si>
    <t>YEAR4</t>
  </si>
  <si>
    <t>YEAR5</t>
  </si>
  <si>
    <t>YEAR6</t>
  </si>
  <si>
    <t>ROI CALCULATION</t>
  </si>
  <si>
    <t>Third year income</t>
  </si>
  <si>
    <t>Third year variable cost</t>
  </si>
  <si>
    <t>Third year fixed cost</t>
  </si>
  <si>
    <t>ROI =</t>
  </si>
  <si>
    <t>Gross income</t>
  </si>
  <si>
    <t>Income Tax</t>
  </si>
  <si>
    <t>PAYBACK PERIOD =</t>
  </si>
  <si>
    <t>Years</t>
  </si>
  <si>
    <t>Net Income</t>
  </si>
  <si>
    <t>Units of Capacity</t>
  </si>
  <si>
    <t>Öperating Hours per Year</t>
  </si>
  <si>
    <t>ANNUAL AnnCap:</t>
  </si>
  <si>
    <t>$</t>
  </si>
  <si>
    <t>Product</t>
  </si>
  <si>
    <t>US Gulf Coast</t>
  </si>
  <si>
    <t>Capital Investment</t>
  </si>
  <si>
    <t>(incl. Working Cap.)</t>
  </si>
  <si>
    <t>US Southeast</t>
  </si>
  <si>
    <t>US Northeast</t>
  </si>
  <si>
    <t>US Midwest</t>
  </si>
  <si>
    <t>US West Coast</t>
  </si>
  <si>
    <t>Western Europe</t>
  </si>
  <si>
    <t>Mexico</t>
  </si>
  <si>
    <t>Japan</t>
  </si>
  <si>
    <t>Pacific Rim</t>
  </si>
  <si>
    <t>India</t>
  </si>
  <si>
    <t>ANNUALLY(Applies to selling price of product)</t>
  </si>
  <si>
    <t>ANNUALLY (Applies to all costs)</t>
  </si>
  <si>
    <t>Misc. Equipment</t>
  </si>
  <si>
    <t>Subtotal (DIC Equipment from Bare Module Costs)</t>
  </si>
  <si>
    <r>
      <t>Subtotal (DIC Equipment Costs)..</t>
    </r>
    <r>
      <rPr>
        <sz val="10"/>
        <color indexed="8"/>
        <rFont val="Helv"/>
      </rPr>
      <t>.....................................................................................................................................................</t>
    </r>
  </si>
  <si>
    <t>ACTS RECEIVABLE</t>
  </si>
  <si>
    <t>TOTAL INVESTMENT (TPI):</t>
  </si>
  <si>
    <t>TARGET=</t>
  </si>
  <si>
    <t>DEPRECIATION RATES (HALF-YEAR CONVENTION)</t>
  </si>
  <si>
    <t>SALVAGE PERCENT=</t>
  </si>
  <si>
    <t>SALVAGE VALUE=</t>
  </si>
  <si>
    <t>SALVAGE VALUE</t>
  </si>
  <si>
    <t>AFTER - TAX REAL IRR =</t>
  </si>
  <si>
    <t>GUESS  =</t>
  </si>
  <si>
    <t>STARTUP</t>
  </si>
  <si>
    <t xml:space="preserve">SELLING PRICE = </t>
  </si>
  <si>
    <t>SOLVED BY MACRO / USER</t>
  </si>
  <si>
    <t>k (Cash flows at end of each period)</t>
  </si>
  <si>
    <t>k  (Cash flows at beginning of each period)</t>
  </si>
  <si>
    <t>$k/yr</t>
  </si>
  <si>
    <t>($k)</t>
  </si>
  <si>
    <t>k  per Year</t>
  </si>
  <si>
    <t>($k/yr)</t>
  </si>
  <si>
    <t>k per Year</t>
  </si>
  <si>
    <t>Macros created by Jeremiah Zartman. Modified 6/15/04</t>
  </si>
  <si>
    <t>ALL FIGURES ARE IN $k</t>
  </si>
  <si>
    <t>k</t>
  </si>
  <si>
    <t>k PER OPERATOR</t>
  </si>
  <si>
    <t>NPV =  0 SET BY MACRO</t>
  </si>
  <si>
    <t>Total Replacement Cost Factor</t>
  </si>
  <si>
    <t>%</t>
  </si>
  <si>
    <t>First year Replacement factor</t>
  </si>
  <si>
    <t>CONSTRUCTION</t>
  </si>
  <si>
    <t>BYPRODUCT CREDIT</t>
  </si>
  <si>
    <t>MMBtu</t>
  </si>
  <si>
    <t>Site factor table</t>
  </si>
  <si>
    <r>
      <t>Note</t>
    </r>
    <r>
      <rPr>
        <sz val="10"/>
        <rFont val="Arial"/>
        <family val="2"/>
      </rPr>
      <t>: Do not include Depreciation if total Fixed Cost is to be used in Cash Flow Calc.</t>
    </r>
  </si>
  <si>
    <t>Start-up Raw Materials Inventory</t>
  </si>
  <si>
    <t>Start-up Spare Parts:</t>
  </si>
  <si>
    <t>TOTAL WORKING CAPITAL……………………………………</t>
  </si>
  <si>
    <t>Total Engineered Equipment/Purchased&amp;Delivered</t>
  </si>
  <si>
    <t>Subtotal/Purchased Equipment&amp;Delivered.......................................................................................................................................................</t>
  </si>
  <si>
    <t>PE</t>
  </si>
  <si>
    <t>FBM</t>
  </si>
  <si>
    <t>Subtotal (DIC from Total Bare Module Cost w/FBM Factors)</t>
  </si>
  <si>
    <t>TOTAL DEPRECIABLE CAPITAL COST =</t>
  </si>
  <si>
    <t>Engineered Equipment/Purchased &amp; Delivered</t>
  </si>
  <si>
    <t>TOTAL DEPRECIABLE CAPITAL or FIXED CAPITAL INVESTMENT   (TDC OR FCI)...................................................................................................................................................</t>
  </si>
  <si>
    <t>Study Estimate/Factored Estimate Method</t>
  </si>
  <si>
    <t>Bare Module Cost Method (PE w/ FBM factors)</t>
  </si>
  <si>
    <t>Total Bare-Module Costs for Fabricated Equipment</t>
  </si>
  <si>
    <t>Total Bare-Module Costs for Process Machinery</t>
  </si>
  <si>
    <t>Total Bare-Module Costs for Spares</t>
  </si>
  <si>
    <t>Total Bare-Module Costs for Storage and Surge Tanks</t>
  </si>
  <si>
    <t>Total Costs for Initial Catalyst Charges</t>
  </si>
  <si>
    <t>Total Bare-Module Costs for Computers &amp; Instrumentation</t>
  </si>
  <si>
    <t>Cost of Site Preparation</t>
  </si>
  <si>
    <t>Cost of Contingencies and Contractor's Fee</t>
  </si>
  <si>
    <t>Allocated Costs For Utility Plants &amp; Related Facilities</t>
  </si>
  <si>
    <t>Total Bare-Module Investment (TBM)........................................................................................................</t>
  </si>
  <si>
    <t>New Project</t>
  </si>
  <si>
    <t>Project Addition</t>
  </si>
  <si>
    <t>Project Type</t>
  </si>
  <si>
    <t>Site</t>
  </si>
  <si>
    <t>Services</t>
  </si>
  <si>
    <t>Site Type</t>
  </si>
  <si>
    <t>CUMULATIVE CASH FLOW</t>
  </si>
  <si>
    <t>Sum of FCI and TDC</t>
  </si>
  <si>
    <t>Processing Plant Type</t>
  </si>
  <si>
    <t>Processing Type</t>
  </si>
  <si>
    <t>Solids</t>
  </si>
  <si>
    <t>Solids-Fluids</t>
  </si>
  <si>
    <t>Fluids</t>
  </si>
  <si>
    <t>Delivered Cost of Process Equipment</t>
  </si>
  <si>
    <t>Installation</t>
  </si>
  <si>
    <t>Instrumentation and control</t>
  </si>
  <si>
    <t>Piping</t>
  </si>
  <si>
    <t>Electrical</t>
  </si>
  <si>
    <t>Buildings (including services)</t>
  </si>
  <si>
    <t>Yard improvements</t>
  </si>
  <si>
    <t>Service facilities</t>
  </si>
  <si>
    <t>Total Direct Plant Cost</t>
  </si>
  <si>
    <t>Engineering and supervision</t>
  </si>
  <si>
    <t>Construction expenses</t>
  </si>
  <si>
    <t>Total Direct and Indirect Plant Costs</t>
  </si>
  <si>
    <t>Contractor's fee and legal expenses</t>
  </si>
  <si>
    <t>Fixed Capital Investment</t>
  </si>
  <si>
    <t>Total Direct Permanent Investment (DPI) .........................................................................................................</t>
  </si>
  <si>
    <t>Lang Factor Table</t>
  </si>
  <si>
    <t>Lang Factor</t>
  </si>
  <si>
    <t>Column No.</t>
  </si>
  <si>
    <t>Lang Factor Approach due to Peters, Timmerhaus and West, 2003, from Table 22.17 in Seider, et al.</t>
  </si>
  <si>
    <t>==================================================================================================</t>
  </si>
  <si>
    <t>Cost of Service Facilities</t>
  </si>
  <si>
    <t>Bare Module Total Depreciable Capital (TDC)..............................................................................................</t>
  </si>
  <si>
    <t>CAPITAL COST ESTIMATE</t>
  </si>
  <si>
    <t>HX</t>
  </si>
  <si>
    <t>kg</t>
  </si>
  <si>
    <t>Electricity</t>
  </si>
  <si>
    <t>O2</t>
  </si>
  <si>
    <t>Vinyl Chloride Synthesis</t>
  </si>
  <si>
    <t xml:space="preserve">Vinyl Chloride </t>
  </si>
  <si>
    <t>lb/kg</t>
  </si>
  <si>
    <t>kg/hr</t>
  </si>
  <si>
    <t>Direct chlorination reactor</t>
  </si>
  <si>
    <t>Pump</t>
  </si>
  <si>
    <t>Pyrolysis Reactor</t>
  </si>
  <si>
    <t>Three Phase Separator</t>
  </si>
  <si>
    <t>Oxychlorination reactor</t>
  </si>
  <si>
    <t>Direct Chlorination</t>
  </si>
  <si>
    <t>Type</t>
  </si>
  <si>
    <t>Source</t>
  </si>
  <si>
    <t>Pyrolysis</t>
  </si>
  <si>
    <t>Oxychlorination</t>
  </si>
  <si>
    <t>Conversion</t>
  </si>
  <si>
    <t>In</t>
  </si>
  <si>
    <t>S1</t>
  </si>
  <si>
    <t>S2</t>
  </si>
  <si>
    <t>Out</t>
  </si>
  <si>
    <t>S5R</t>
  </si>
  <si>
    <t>S3V</t>
  </si>
  <si>
    <t>S3L</t>
  </si>
  <si>
    <t>Pressure</t>
  </si>
  <si>
    <t>Bubble Column</t>
  </si>
  <si>
    <t>kPa</t>
  </si>
  <si>
    <t>kg/h</t>
  </si>
  <si>
    <t>S8</t>
  </si>
  <si>
    <t>Q3</t>
  </si>
  <si>
    <t>kJ/h</t>
  </si>
  <si>
    <t>S9V</t>
  </si>
  <si>
    <t>S9L</t>
  </si>
  <si>
    <t>rxn heat</t>
  </si>
  <si>
    <t>kJ/kgmol</t>
  </si>
  <si>
    <t>C1</t>
  </si>
  <si>
    <t>m^3</t>
  </si>
  <si>
    <t>Duty</t>
  </si>
  <si>
    <t>SA</t>
  </si>
  <si>
    <t>ft^2</t>
  </si>
  <si>
    <t>Heat Exchangers</t>
  </si>
  <si>
    <t>Pipe Diameter</t>
  </si>
  <si>
    <t>P1</t>
  </si>
  <si>
    <t>Efficiency</t>
  </si>
  <si>
    <t>CE ratio</t>
  </si>
  <si>
    <t>Q</t>
  </si>
  <si>
    <t>H</t>
  </si>
  <si>
    <t>Size Factor S</t>
  </si>
  <si>
    <t>Fm conversion</t>
  </si>
  <si>
    <t>P2</t>
  </si>
  <si>
    <t>Total (2 pumps)</t>
  </si>
  <si>
    <t>Pumps</t>
  </si>
  <si>
    <t>Distillation Columns</t>
  </si>
  <si>
    <t>D1</t>
  </si>
  <si>
    <t>Diameter</t>
  </si>
  <si>
    <t>Height</t>
  </si>
  <si>
    <t>Material</t>
  </si>
  <si>
    <t>D2</t>
  </si>
  <si>
    <t>ft</t>
  </si>
  <si>
    <t>m</t>
  </si>
  <si>
    <t>Pressure Rating</t>
  </si>
  <si>
    <t>Stainless Steel</t>
  </si>
  <si>
    <t>D3</t>
  </si>
  <si>
    <t>D4</t>
  </si>
  <si>
    <r>
      <t>C</t>
    </r>
    <r>
      <rPr>
        <sz val="8"/>
        <rFont val="Arial"/>
        <family val="2"/>
      </rPr>
      <t>PL</t>
    </r>
  </si>
  <si>
    <t>Eq. 16.58</t>
  </si>
  <si>
    <t>Peters and Timmerhaus, 2001</t>
  </si>
  <si>
    <t>Figure 16.3</t>
  </si>
  <si>
    <t>Centrifugal, radial</t>
  </si>
  <si>
    <r>
      <t>C</t>
    </r>
    <r>
      <rPr>
        <sz val="8"/>
        <rFont val="Arial"/>
        <family val="2"/>
      </rPr>
      <t>BT</t>
    </r>
  </si>
  <si>
    <t>base cost</t>
  </si>
  <si>
    <t>platforms + ladders</t>
  </si>
  <si>
    <t># trays</t>
  </si>
  <si>
    <r>
      <rPr>
        <sz val="10"/>
        <rFont val="Arial"/>
        <family val="2"/>
      </rPr>
      <t>F</t>
    </r>
    <r>
      <rPr>
        <sz val="8"/>
        <rFont val="Arial"/>
        <family val="2"/>
      </rPr>
      <t>NT</t>
    </r>
  </si>
  <si>
    <r>
      <rPr>
        <sz val="10"/>
        <rFont val="Arial"/>
        <family val="2"/>
      </rPr>
      <t>F</t>
    </r>
    <r>
      <rPr>
        <sz val="8"/>
        <rFont val="Arial"/>
        <family val="2"/>
      </rPr>
      <t>TT</t>
    </r>
  </si>
  <si>
    <t>tray scaling</t>
  </si>
  <si>
    <t>tray type</t>
  </si>
  <si>
    <t>Sieve tray</t>
  </si>
  <si>
    <r>
      <t>C</t>
    </r>
    <r>
      <rPr>
        <sz val="8"/>
        <rFont val="Arial"/>
        <family val="2"/>
      </rPr>
      <t>T</t>
    </r>
  </si>
  <si>
    <t>Eq. 16.67</t>
  </si>
  <si>
    <t>Eq. 16.68</t>
  </si>
  <si>
    <t>material correction</t>
  </si>
  <si>
    <r>
      <rPr>
        <sz val="10"/>
        <rFont val="Arial"/>
        <family val="2"/>
      </rPr>
      <t>F</t>
    </r>
    <r>
      <rPr>
        <sz val="8"/>
        <rFont val="Arial"/>
        <family val="2"/>
      </rPr>
      <t>TM</t>
    </r>
  </si>
  <si>
    <t>cost of trays</t>
  </si>
  <si>
    <t>cost index</t>
  </si>
  <si>
    <t>Total Cost</t>
  </si>
  <si>
    <t>Volume</t>
  </si>
  <si>
    <t>res time</t>
  </si>
  <si>
    <t>s</t>
  </si>
  <si>
    <t># Tubes</t>
  </si>
  <si>
    <t>Empty Vessel Cost</t>
  </si>
  <si>
    <t>Length</t>
  </si>
  <si>
    <t>Weight</t>
  </si>
  <si>
    <t>Eq. 16.59</t>
  </si>
  <si>
    <t>Shell Thickness, ts</t>
  </si>
  <si>
    <t>Density of material</t>
  </si>
  <si>
    <t>S.S. [lb/ft^3]</t>
  </si>
  <si>
    <t>Fig. 16.13</t>
  </si>
  <si>
    <t>Heat Duty</t>
  </si>
  <si>
    <t>Furnace Cost</t>
  </si>
  <si>
    <t>Furnace + Vessel</t>
  </si>
  <si>
    <t>Shell &amp; Tube</t>
  </si>
  <si>
    <t>Matche</t>
  </si>
  <si>
    <t>C2H4</t>
  </si>
  <si>
    <t>Cl2</t>
  </si>
  <si>
    <t>Requirement</t>
  </si>
  <si>
    <t>C2H3Cl</t>
  </si>
  <si>
    <t>Cooling Water</t>
  </si>
  <si>
    <t>Chilled Brine</t>
  </si>
  <si>
    <t>Dowtherm A</t>
  </si>
  <si>
    <t>Steam</t>
  </si>
  <si>
    <t>Ethylene</t>
  </si>
  <si>
    <t>gal/hr</t>
  </si>
  <si>
    <t>Waste Treatment</t>
  </si>
  <si>
    <t>Reactors</t>
  </si>
  <si>
    <t>Passes</t>
  </si>
  <si>
    <t>1:2</t>
  </si>
  <si>
    <t>Btu/hr</t>
  </si>
  <si>
    <t>Fluid</t>
  </si>
  <si>
    <t>C2</t>
  </si>
  <si>
    <t>2:4</t>
  </si>
  <si>
    <t>H1</t>
  </si>
  <si>
    <t>C3</t>
  </si>
  <si>
    <t>D1-C</t>
  </si>
  <si>
    <t>D1-H</t>
  </si>
  <si>
    <t>D2-C</t>
  </si>
  <si>
    <t>D2-H</t>
  </si>
  <si>
    <t>D3-C</t>
  </si>
  <si>
    <t>D3-H</t>
  </si>
  <si>
    <t>D4-C</t>
  </si>
  <si>
    <t>D4-H</t>
  </si>
  <si>
    <t>matche</t>
  </si>
  <si>
    <t>chemanalyst.com</t>
  </si>
  <si>
    <t>kW</t>
  </si>
  <si>
    <t>https://www.eia.gov/totalenergy/data/annual/index.php</t>
  </si>
  <si>
    <t>Duty/Year</t>
  </si>
  <si>
    <t>Price/Year</t>
  </si>
  <si>
    <t>Reg per kg product</t>
  </si>
  <si>
    <t>Req per kg product</t>
  </si>
  <si>
    <t>Furnace</t>
  </si>
  <si>
    <t>Btu/ft^3</t>
  </si>
  <si>
    <t>Energy output</t>
  </si>
  <si>
    <t>Labor Requirement</t>
  </si>
  <si>
    <t>Equipment</t>
  </si>
  <si>
    <t>Labor/Unit</t>
  </si>
  <si>
    <t>Total Labor</t>
  </si>
  <si>
    <t>kJ/hr</t>
  </si>
  <si>
    <t>kJ</t>
  </si>
  <si>
    <t>Nat. Gas req.</t>
  </si>
  <si>
    <t>Nat. Gas</t>
  </si>
  <si>
    <t>MJ/m^3</t>
  </si>
  <si>
    <t>Waste</t>
  </si>
  <si>
    <t>Cost/hr w/ electicity</t>
  </si>
  <si>
    <t>S23</t>
  </si>
  <si>
    <t>S27</t>
  </si>
  <si>
    <t>S19</t>
  </si>
  <si>
    <t>S20</t>
  </si>
  <si>
    <t>Quantity required per year</t>
  </si>
  <si>
    <t>per year</t>
  </si>
  <si>
    <t>per hour</t>
  </si>
  <si>
    <t xml:space="preserve">Chilled Brine                                                                             Assume recycle to save cost                                                Replace once/year                                                               Quantity required based on residence time t = 1200s = 3.34hr.  </t>
  </si>
  <si>
    <t xml:space="preserve">Dowtherm A                                                                             Assume recycle to save cost                                                Replace once/year                                                               Quantity required based on residence time t = 1200s = 3.34hr.  </t>
  </si>
  <si>
    <t>Shifts/Day</t>
  </si>
  <si>
    <t>Shift Weekends</t>
  </si>
  <si>
    <t>Shift Cover</t>
  </si>
  <si>
    <t>X Variable</t>
  </si>
  <si>
    <t>Y Variable</t>
  </si>
  <si>
    <t>ROI</t>
  </si>
  <si>
    <t>TDC</t>
  </si>
  <si>
    <t xml:space="preserve"> Sensitivity Analysis </t>
  </si>
  <si>
    <t>kWh/ kg C2H3Cl</t>
  </si>
  <si>
    <t>NPV</t>
  </si>
  <si>
    <t>TVC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</si>
</sst>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0.0%"/>
    <numFmt numFmtId="165" formatCode="0_)"/>
    <numFmt numFmtId="166" formatCode="0.0"/>
    <numFmt numFmtId="167" formatCode="0.0_)"/>
    <numFmt numFmtId="168" formatCode="0.000"/>
    <numFmt numFmtId="169" formatCode="&quot;$&quot;#,##0.000"/>
    <numFmt numFmtId="170" formatCode="&quot;$&quot;#,##0.00"/>
    <numFmt numFmtId="171" formatCode="0.00000"/>
    <numFmt numFmtId="172" formatCode="&quot;$&quot;#,##0"/>
    <numFmt numFmtId="173" formatCode="&quot;$&quot;#,##0.000_);[Red]\(&quot;$&quot;#,##0.000\)"/>
    <numFmt numFmtId="174" formatCode="#,##0.0"/>
    <numFmt numFmtId="175" formatCode="_(&quot;$&quot;* #,##0.0000_);_(&quot;$&quot;* \(#,##0.0000\);_(&quot;$&quot;* &quot;-&quot;??_);_(@_)"/>
    <numFmt numFmtId="176" formatCode="m/d/yy;@"/>
    <numFmt numFmtId="177" formatCode="#,##0.0000_);[Red]\(#,##0.0000\)"/>
    <numFmt numFmtId="178" formatCode="#,##0.0000_);\(#,##0.0000\)"/>
    <numFmt numFmtId="179" formatCode="#,##0.0000"/>
  </numFmts>
  <fonts count="24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6"/>
      <name val="Arial"/>
      <family val="2"/>
    </font>
    <font>
      <sz val="10"/>
      <name val="Arial"/>
      <family val="2"/>
    </font>
    <font>
      <b/>
      <sz val="18"/>
      <color indexed="8"/>
      <name val="Arial"/>
      <family val="2"/>
    </font>
    <font>
      <b/>
      <sz val="10"/>
      <color indexed="8"/>
      <name val="Arial"/>
      <family val="2"/>
    </font>
    <font>
      <u/>
      <sz val="10"/>
      <name val="Arial"/>
      <family val="2"/>
    </font>
    <font>
      <sz val="10"/>
      <color indexed="8"/>
      <name val="Helv"/>
    </font>
    <font>
      <sz val="14"/>
      <color indexed="8"/>
      <name val="Helv"/>
    </font>
    <font>
      <b/>
      <sz val="14"/>
      <color indexed="8"/>
      <name val="Helv"/>
    </font>
    <font>
      <u/>
      <sz val="10"/>
      <color indexed="8"/>
      <name val="Helv"/>
    </font>
    <font>
      <b/>
      <sz val="10"/>
      <color indexed="8"/>
      <name val="Helv"/>
    </font>
    <font>
      <b/>
      <sz val="14"/>
      <name val="Arial"/>
      <family val="2"/>
    </font>
    <font>
      <b/>
      <sz val="16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u/>
      <sz val="10"/>
      <name val="Arial"/>
      <family val="2"/>
    </font>
    <font>
      <b/>
      <sz val="14"/>
      <color rgb="FF000000"/>
      <name val="Arial"/>
      <family val="2"/>
    </font>
    <font>
      <sz val="11"/>
      <color rgb="FF000000"/>
      <name val="Arial"/>
      <family val="2"/>
    </font>
    <font>
      <sz val="10"/>
      <color rgb="FF333333"/>
      <name val="MathJax_Main"/>
    </font>
    <font>
      <b/>
      <sz val="11"/>
      <color rgb="FF000000"/>
      <name val="Arial"/>
      <family val="2"/>
    </font>
    <font>
      <sz val="10"/>
      <color rgb="FF000000"/>
      <name val="Helv"/>
    </font>
    <font>
      <sz val="20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22"/>
      </patternFill>
    </fill>
    <fill>
      <patternFill patternType="solid">
        <fgColor indexed="41"/>
        <bgColor indexed="64"/>
      </patternFill>
    </fill>
    <fill>
      <patternFill patternType="solid">
        <fgColor indexed="15"/>
        <bgColor indexed="49"/>
      </patternFill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9"/>
        <bgColor indexed="49"/>
      </patternFill>
    </fill>
    <fill>
      <patternFill patternType="solid">
        <fgColor indexed="15"/>
        <bgColor indexed="43"/>
      </patternFill>
    </fill>
    <fill>
      <patternFill patternType="solid">
        <fgColor indexed="22"/>
        <bgColor indexed="43"/>
      </patternFill>
    </fill>
    <fill>
      <patternFill patternType="solid">
        <fgColor indexed="14"/>
        <bgColor indexed="49"/>
      </patternFill>
    </fill>
    <fill>
      <patternFill patternType="solid">
        <fgColor indexed="43"/>
        <bgColor indexed="43"/>
      </patternFill>
    </fill>
    <fill>
      <patternFill patternType="solid">
        <fgColor indexed="48"/>
        <bgColor indexed="64"/>
      </patternFill>
    </fill>
    <fill>
      <patternFill patternType="solid">
        <fgColor indexed="48"/>
        <bgColor indexed="43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34">
    <xf numFmtId="0" fontId="0" fillId="0" borderId="0" xfId="0"/>
    <xf numFmtId="0" fontId="0" fillId="0" borderId="0" xfId="0" applyAlignment="1">
      <alignment horizontal="centerContinuous"/>
    </xf>
    <xf numFmtId="0" fontId="3" fillId="0" borderId="0" xfId="0" applyFont="1" applyAlignment="1">
      <alignment horizontal="centerContinuous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164" fontId="0" fillId="0" borderId="0" xfId="2" applyNumberFormat="1" applyFont="1"/>
    <xf numFmtId="0" fontId="0" fillId="3" borderId="1" xfId="0" applyFill="1" applyBorder="1"/>
    <xf numFmtId="0" fontId="0" fillId="4" borderId="1" xfId="0" applyFill="1" applyBorder="1" applyAlignment="1">
      <alignment horizontal="right"/>
    </xf>
    <xf numFmtId="0" fontId="4" fillId="0" borderId="0" xfId="0" quotePrefix="1" applyFont="1" applyAlignment="1">
      <alignment horizontal="left"/>
    </xf>
    <xf numFmtId="0" fontId="4" fillId="0" borderId="0" xfId="0" quotePrefix="1" applyFont="1" applyAlignment="1">
      <alignment horizontal="left" vertical="center"/>
    </xf>
    <xf numFmtId="0" fontId="4" fillId="0" borderId="0" xfId="0" applyFont="1" applyAlignment="1">
      <alignment horizontal="centerContinuous"/>
    </xf>
    <xf numFmtId="0" fontId="4" fillId="0" borderId="0" xfId="0" applyFont="1"/>
    <xf numFmtId="0" fontId="4" fillId="3" borderId="1" xfId="0" applyFont="1" applyFill="1" applyBorder="1" applyAlignment="1">
      <alignment horizontal="centerContinuous"/>
    </xf>
    <xf numFmtId="0" fontId="4" fillId="5" borderId="1" xfId="0" applyFont="1" applyFill="1" applyBorder="1" applyAlignment="1">
      <alignment horizontal="centerContinuous"/>
    </xf>
    <xf numFmtId="9" fontId="0" fillId="3" borderId="1" xfId="2" applyFont="1" applyFill="1" applyBorder="1"/>
    <xf numFmtId="0" fontId="5" fillId="0" borderId="0" xfId="0" applyFont="1" applyAlignment="1">
      <alignment horizontal="centerContinuous"/>
    </xf>
    <xf numFmtId="0" fontId="6" fillId="0" borderId="0" xfId="0" applyFont="1" applyAlignment="1">
      <alignment horizontal="centerContinuous"/>
    </xf>
    <xf numFmtId="165" fontId="0" fillId="0" borderId="0" xfId="0" applyNumberFormat="1" applyProtection="1"/>
    <xf numFmtId="165" fontId="0" fillId="6" borderId="2" xfId="0" applyNumberFormat="1" applyFill="1" applyBorder="1" applyProtection="1"/>
    <xf numFmtId="0" fontId="7" fillId="0" borderId="0" xfId="0" applyFont="1"/>
    <xf numFmtId="5" fontId="4" fillId="5" borderId="1" xfId="0" applyNumberFormat="1" applyFont="1" applyFill="1" applyBorder="1" applyAlignment="1">
      <alignment horizontal="centerContinuous"/>
    </xf>
    <xf numFmtId="5" fontId="0" fillId="6" borderId="2" xfId="0" applyNumberFormat="1" applyFill="1" applyBorder="1" applyProtection="1"/>
    <xf numFmtId="2" fontId="0" fillId="0" borderId="0" xfId="0" applyNumberFormat="1"/>
    <xf numFmtId="2" fontId="0" fillId="0" borderId="0" xfId="0" applyNumberFormat="1" applyAlignment="1">
      <alignment horizontal="center"/>
    </xf>
    <xf numFmtId="0" fontId="8" fillId="0" borderId="0" xfId="0" applyFont="1" applyProtection="1"/>
    <xf numFmtId="0" fontId="9" fillId="0" borderId="0" xfId="0" applyFont="1" applyProtection="1"/>
    <xf numFmtId="0" fontId="10" fillId="0" borderId="0" xfId="0" applyFont="1" applyProtection="1"/>
    <xf numFmtId="0" fontId="8" fillId="2" borderId="2" xfId="0" applyFont="1" applyFill="1" applyBorder="1" applyProtection="1"/>
    <xf numFmtId="0" fontId="8" fillId="7" borderId="2" xfId="0" applyFont="1" applyFill="1" applyBorder="1" applyProtection="1"/>
    <xf numFmtId="9" fontId="8" fillId="0" borderId="0" xfId="0" applyNumberFormat="1" applyFont="1" applyProtection="1"/>
    <xf numFmtId="37" fontId="0" fillId="0" borderId="0" xfId="0" applyNumberFormat="1"/>
    <xf numFmtId="0" fontId="13" fillId="0" borderId="0" xfId="0" applyFont="1"/>
    <xf numFmtId="3" fontId="3" fillId="0" borderId="0" xfId="0" applyNumberFormat="1" applyFont="1" applyAlignment="1">
      <alignment horizontal="centerContinuous"/>
    </xf>
    <xf numFmtId="3" fontId="0" fillId="0" borderId="0" xfId="0" applyNumberFormat="1" applyAlignment="1">
      <alignment horizontal="right"/>
    </xf>
    <xf numFmtId="3" fontId="0" fillId="0" borderId="0" xfId="0" applyNumberFormat="1"/>
    <xf numFmtId="3" fontId="0" fillId="8" borderId="3" xfId="0" applyNumberFormat="1" applyFill="1" applyBorder="1" applyAlignment="1">
      <alignment horizontal="right"/>
    </xf>
    <xf numFmtId="3" fontId="0" fillId="0" borderId="0" xfId="0" applyNumberFormat="1" applyAlignment="1">
      <alignment horizontal="centerContinuous"/>
    </xf>
    <xf numFmtId="3" fontId="0" fillId="0" borderId="4" xfId="0" applyNumberFormat="1" applyBorder="1" applyAlignment="1">
      <alignment horizontal="centerContinuous"/>
    </xf>
    <xf numFmtId="3" fontId="0" fillId="4" borderId="1" xfId="0" applyNumberFormat="1" applyFill="1" applyBorder="1" applyAlignment="1">
      <alignment horizontal="right"/>
    </xf>
    <xf numFmtId="3" fontId="0" fillId="0" borderId="0" xfId="0" applyNumberFormat="1" applyAlignment="1">
      <alignment horizontal="left"/>
    </xf>
    <xf numFmtId="3" fontId="0" fillId="9" borderId="1" xfId="0" applyNumberFormat="1" applyFill="1" applyBorder="1"/>
    <xf numFmtId="3" fontId="0" fillId="9" borderId="5" xfId="0" applyNumberFormat="1" applyFill="1" applyBorder="1"/>
    <xf numFmtId="3" fontId="8" fillId="7" borderId="2" xfId="0" applyNumberFormat="1" applyFont="1" applyFill="1" applyBorder="1" applyProtection="1"/>
    <xf numFmtId="3" fontId="8" fillId="0" borderId="0" xfId="0" applyNumberFormat="1" applyFont="1" applyProtection="1"/>
    <xf numFmtId="3" fontId="8" fillId="0" borderId="0" xfId="0" applyNumberFormat="1" applyFont="1" applyAlignment="1" applyProtection="1">
      <alignment horizontal="center"/>
    </xf>
    <xf numFmtId="3" fontId="8" fillId="0" borderId="0" xfId="0" applyNumberFormat="1" applyFont="1" applyAlignment="1" applyProtection="1">
      <alignment horizontal="right"/>
    </xf>
    <xf numFmtId="3" fontId="11" fillId="0" borderId="0" xfId="0" applyNumberFormat="1" applyFont="1" applyAlignment="1" applyProtection="1">
      <alignment horizontal="center"/>
    </xf>
    <xf numFmtId="3" fontId="12" fillId="7" borderId="2" xfId="0" applyNumberFormat="1" applyFont="1" applyFill="1" applyBorder="1" applyProtection="1"/>
    <xf numFmtId="9" fontId="0" fillId="0" borderId="0" xfId="0" applyNumberFormat="1"/>
    <xf numFmtId="0" fontId="14" fillId="0" borderId="0" xfId="0" applyFont="1"/>
    <xf numFmtId="5" fontId="8" fillId="7" borderId="2" xfId="0" applyNumberFormat="1" applyFont="1" applyFill="1" applyBorder="1" applyProtection="1"/>
    <xf numFmtId="9" fontId="0" fillId="3" borderId="1" xfId="0" applyNumberFormat="1" applyFill="1" applyBorder="1" applyAlignment="1">
      <alignment horizontal="center"/>
    </xf>
    <xf numFmtId="165" fontId="0" fillId="10" borderId="2" xfId="0" applyNumberFormat="1" applyFill="1" applyBorder="1" applyProtection="1"/>
    <xf numFmtId="165" fontId="0" fillId="0" borderId="0" xfId="0" applyNumberFormat="1" applyBorder="1" applyProtection="1"/>
    <xf numFmtId="165" fontId="0" fillId="0" borderId="0" xfId="0" applyNumberFormat="1" applyFill="1" applyBorder="1" applyProtection="1"/>
    <xf numFmtId="165" fontId="0" fillId="0" borderId="0" xfId="0" applyNumberFormat="1" applyFill="1" applyProtection="1"/>
    <xf numFmtId="165" fontId="0" fillId="0" borderId="6" xfId="0" applyNumberFormat="1" applyFill="1" applyBorder="1" applyProtection="1"/>
    <xf numFmtId="165" fontId="0" fillId="3" borderId="2" xfId="0" applyNumberFormat="1" applyFill="1" applyBorder="1" applyProtection="1"/>
    <xf numFmtId="165" fontId="0" fillId="11" borderId="2" xfId="0" applyNumberFormat="1" applyFill="1" applyBorder="1" applyProtection="1"/>
    <xf numFmtId="165" fontId="0" fillId="12" borderId="2" xfId="0" applyNumberFormat="1" applyFill="1" applyBorder="1" applyProtection="1"/>
    <xf numFmtId="165" fontId="0" fillId="13" borderId="2" xfId="0" applyNumberFormat="1" applyFill="1" applyBorder="1" applyProtection="1"/>
    <xf numFmtId="165" fontId="0" fillId="13" borderId="1" xfId="0" applyNumberFormat="1" applyFill="1" applyBorder="1" applyProtection="1"/>
    <xf numFmtId="9" fontId="8" fillId="0" borderId="0" xfId="0" applyNumberFormat="1" applyFont="1" applyAlignment="1" applyProtection="1">
      <alignment horizontal="center"/>
    </xf>
    <xf numFmtId="169" fontId="4" fillId="5" borderId="1" xfId="0" applyNumberFormat="1" applyFont="1" applyFill="1" applyBorder="1" applyAlignment="1">
      <alignment horizontal="centerContinuous"/>
    </xf>
    <xf numFmtId="168" fontId="4" fillId="5" borderId="1" xfId="0" applyNumberFormat="1" applyFont="1" applyFill="1" applyBorder="1" applyAlignment="1">
      <alignment horizontal="centerContinuous"/>
    </xf>
    <xf numFmtId="168" fontId="0" fillId="0" borderId="0" xfId="0" applyNumberFormat="1"/>
    <xf numFmtId="168" fontId="0" fillId="0" borderId="0" xfId="0" applyNumberFormat="1" applyAlignment="1">
      <alignment horizontal="center"/>
    </xf>
    <xf numFmtId="168" fontId="0" fillId="0" borderId="0" xfId="0" applyNumberFormat="1" applyAlignment="1">
      <alignment horizontal="right"/>
    </xf>
    <xf numFmtId="166" fontId="0" fillId="9" borderId="1" xfId="2" applyNumberFormat="1" applyFont="1" applyFill="1" applyBorder="1"/>
    <xf numFmtId="164" fontId="0" fillId="14" borderId="2" xfId="0" applyNumberFormat="1" applyFill="1" applyBorder="1" applyProtection="1">
      <protection locked="0"/>
    </xf>
    <xf numFmtId="5" fontId="0" fillId="14" borderId="2" xfId="0" applyNumberFormat="1" applyFill="1" applyBorder="1" applyProtection="1">
      <protection locked="0"/>
    </xf>
    <xf numFmtId="9" fontId="0" fillId="3" borderId="1" xfId="0" applyNumberFormat="1" applyFill="1" applyBorder="1" applyAlignment="1" applyProtection="1">
      <alignment horizontal="center"/>
      <protection locked="0"/>
    </xf>
    <xf numFmtId="170" fontId="0" fillId="4" borderId="1" xfId="0" applyNumberFormat="1" applyFill="1" applyBorder="1" applyAlignment="1">
      <alignment horizontal="right"/>
    </xf>
    <xf numFmtId="0" fontId="11" fillId="0" borderId="0" xfId="0" applyFont="1" applyProtection="1"/>
    <xf numFmtId="0" fontId="12" fillId="0" borderId="0" xfId="0" applyFont="1" applyProtection="1"/>
    <xf numFmtId="164" fontId="0" fillId="14" borderId="7" xfId="0" applyNumberFormat="1" applyFill="1" applyBorder="1" applyProtection="1"/>
    <xf numFmtId="164" fontId="0" fillId="6" borderId="1" xfId="0" applyNumberFormat="1" applyFill="1" applyBorder="1" applyProtection="1"/>
    <xf numFmtId="164" fontId="0" fillId="14" borderId="1" xfId="0" applyNumberFormat="1" applyFill="1" applyBorder="1" applyProtection="1"/>
    <xf numFmtId="0" fontId="15" fillId="0" borderId="0" xfId="0" applyFont="1"/>
    <xf numFmtId="0" fontId="0" fillId="0" borderId="0" xfId="0" applyFill="1" applyBorder="1"/>
    <xf numFmtId="9" fontId="0" fillId="3" borderId="8" xfId="0" applyNumberFormat="1" applyFill="1" applyBorder="1" applyAlignment="1" applyProtection="1">
      <alignment horizontal="center"/>
      <protection locked="0"/>
    </xf>
    <xf numFmtId="165" fontId="0" fillId="12" borderId="9" xfId="0" applyNumberFormat="1" applyFill="1" applyBorder="1" applyProtection="1"/>
    <xf numFmtId="165" fontId="0" fillId="11" borderId="9" xfId="0" applyNumberFormat="1" applyFill="1" applyBorder="1" applyProtection="1"/>
    <xf numFmtId="165" fontId="0" fillId="6" borderId="9" xfId="0" applyNumberFormat="1" applyFill="1" applyBorder="1" applyProtection="1"/>
    <xf numFmtId="165" fontId="0" fillId="13" borderId="9" xfId="0" applyNumberFormat="1" applyFill="1" applyBorder="1" applyProtection="1"/>
    <xf numFmtId="165" fontId="0" fillId="13" borderId="8" xfId="0" applyNumberFormat="1" applyFill="1" applyBorder="1" applyProtection="1"/>
    <xf numFmtId="0" fontId="0" fillId="0" borderId="0" xfId="0" applyFill="1" applyBorder="1" applyAlignment="1">
      <alignment horizontal="center"/>
    </xf>
    <xf numFmtId="8" fontId="0" fillId="0" borderId="0" xfId="0" applyNumberFormat="1"/>
    <xf numFmtId="10" fontId="0" fillId="0" borderId="0" xfId="0" applyNumberFormat="1"/>
    <xf numFmtId="10" fontId="0" fillId="0" borderId="0" xfId="2" applyNumberFormat="1" applyFont="1"/>
    <xf numFmtId="0" fontId="0" fillId="9" borderId="1" xfId="0" applyFill="1" applyBorder="1"/>
    <xf numFmtId="164" fontId="0" fillId="3" borderId="2" xfId="2" applyNumberFormat="1" applyFont="1" applyFill="1" applyBorder="1" applyProtection="1"/>
    <xf numFmtId="8" fontId="0" fillId="9" borderId="1" xfId="0" applyNumberFormat="1" applyFill="1" applyBorder="1"/>
    <xf numFmtId="0" fontId="0" fillId="15" borderId="1" xfId="0" applyFill="1" applyBorder="1"/>
    <xf numFmtId="0" fontId="8" fillId="0" borderId="0" xfId="0" applyFont="1" applyFill="1" applyBorder="1" applyProtection="1"/>
    <xf numFmtId="1" fontId="8" fillId="0" borderId="0" xfId="0" applyNumberFormat="1" applyFont="1" applyFill="1" applyBorder="1" applyProtection="1"/>
    <xf numFmtId="165" fontId="0" fillId="12" borderId="1" xfId="0" applyNumberFormat="1" applyFill="1" applyBorder="1" applyAlignment="1" applyProtection="1">
      <alignment horizontal="center"/>
    </xf>
    <xf numFmtId="165" fontId="0" fillId="11" borderId="1" xfId="0" applyNumberFormat="1" applyFill="1" applyBorder="1" applyAlignment="1" applyProtection="1">
      <alignment horizontal="center"/>
    </xf>
    <xf numFmtId="165" fontId="0" fillId="13" borderId="1" xfId="0" applyNumberFormat="1" applyFill="1" applyBorder="1" applyAlignment="1" applyProtection="1">
      <alignment horizontal="center"/>
    </xf>
    <xf numFmtId="1" fontId="0" fillId="0" borderId="0" xfId="0" applyNumberFormat="1"/>
    <xf numFmtId="0" fontId="0" fillId="0" borderId="0" xfId="0" applyBorder="1"/>
    <xf numFmtId="170" fontId="0" fillId="16" borderId="2" xfId="0" applyNumberFormat="1" applyFill="1" applyBorder="1" applyAlignment="1" applyProtection="1">
      <alignment horizontal="center"/>
      <protection locked="0"/>
    </xf>
    <xf numFmtId="9" fontId="0" fillId="3" borderId="10" xfId="0" applyNumberFormat="1" applyFill="1" applyBorder="1" applyAlignment="1" applyProtection="1">
      <alignment horizontal="center"/>
      <protection locked="0"/>
    </xf>
    <xf numFmtId="165" fontId="0" fillId="13" borderId="11" xfId="0" applyNumberFormat="1" applyFill="1" applyBorder="1" applyProtection="1"/>
    <xf numFmtId="9" fontId="0" fillId="0" borderId="0" xfId="0" applyNumberFormat="1" applyBorder="1"/>
    <xf numFmtId="7" fontId="0" fillId="0" borderId="0" xfId="0" applyNumberFormat="1" applyBorder="1" applyAlignment="1">
      <alignment horizontal="center"/>
    </xf>
    <xf numFmtId="165" fontId="0" fillId="0" borderId="0" xfId="0" applyNumberFormat="1"/>
    <xf numFmtId="0" fontId="8" fillId="0" borderId="0" xfId="0" applyFont="1" applyFill="1" applyProtection="1"/>
    <xf numFmtId="9" fontId="0" fillId="0" borderId="0" xfId="0" applyNumberFormat="1" applyFill="1" applyBorder="1" applyAlignment="1" applyProtection="1">
      <alignment horizontal="center"/>
      <protection locked="0"/>
    </xf>
    <xf numFmtId="165" fontId="0" fillId="12" borderId="1" xfId="0" applyNumberFormat="1" applyFill="1" applyBorder="1" applyProtection="1"/>
    <xf numFmtId="165" fontId="0" fillId="10" borderId="12" xfId="0" applyNumberFormat="1" applyFill="1" applyBorder="1" applyProtection="1"/>
    <xf numFmtId="9" fontId="0" fillId="0" borderId="0" xfId="2" applyNumberFormat="1" applyFont="1" applyProtection="1"/>
    <xf numFmtId="9" fontId="0" fillId="0" borderId="0" xfId="2" applyNumberFormat="1" applyFont="1"/>
    <xf numFmtId="9" fontId="0" fillId="0" borderId="0" xfId="2" applyFont="1" applyFill="1" applyBorder="1"/>
    <xf numFmtId="3" fontId="0" fillId="0" borderId="0" xfId="0" applyNumberFormat="1" applyBorder="1"/>
    <xf numFmtId="3" fontId="0" fillId="0" borderId="0" xfId="0" applyNumberFormat="1" applyFill="1" applyBorder="1" applyAlignment="1">
      <alignment horizontal="center"/>
    </xf>
    <xf numFmtId="3" fontId="0" fillId="0" borderId="0" xfId="0" applyNumberFormat="1" applyFill="1" applyBorder="1"/>
    <xf numFmtId="174" fontId="0" fillId="0" borderId="0" xfId="0" applyNumberFormat="1" applyFill="1" applyBorder="1"/>
    <xf numFmtId="0" fontId="0" fillId="0" borderId="0" xfId="0" applyBorder="1" applyAlignment="1">
      <alignment horizontal="right"/>
    </xf>
    <xf numFmtId="9" fontId="0" fillId="0" borderId="0" xfId="0" applyNumberFormat="1" applyFill="1" applyBorder="1"/>
    <xf numFmtId="6" fontId="0" fillId="0" borderId="0" xfId="0" applyNumberFormat="1" applyBorder="1"/>
    <xf numFmtId="6" fontId="0" fillId="0" borderId="0" xfId="0" applyNumberFormat="1" applyFill="1" applyBorder="1"/>
    <xf numFmtId="8" fontId="0" fillId="0" borderId="0" xfId="0" applyNumberFormat="1" applyBorder="1"/>
    <xf numFmtId="8" fontId="0" fillId="0" borderId="0" xfId="0" applyNumberFormat="1" applyFill="1" applyBorder="1"/>
    <xf numFmtId="173" fontId="0" fillId="0" borderId="0" xfId="0" applyNumberFormat="1" applyBorder="1"/>
    <xf numFmtId="0" fontId="0" fillId="0" borderId="0" xfId="0" applyFill="1" applyBorder="1" applyAlignment="1">
      <alignment horizontal="right"/>
    </xf>
    <xf numFmtId="0" fontId="17" fillId="0" borderId="0" xfId="0" applyFont="1"/>
    <xf numFmtId="0" fontId="16" fillId="0" borderId="0" xfId="0" applyFont="1" applyBorder="1" applyAlignment="1">
      <alignment horizontal="left" vertical="center" wrapText="1"/>
    </xf>
    <xf numFmtId="0" fontId="0" fillId="17" borderId="13" xfId="0" applyFill="1" applyBorder="1"/>
    <xf numFmtId="0" fontId="0" fillId="17" borderId="1" xfId="0" applyFill="1" applyBorder="1"/>
    <xf numFmtId="38" fontId="8" fillId="2" borderId="2" xfId="0" applyNumberFormat="1" applyFont="1" applyFill="1" applyBorder="1" applyProtection="1">
      <protection locked="0"/>
    </xf>
    <xf numFmtId="176" fontId="8" fillId="7" borderId="2" xfId="0" applyNumberFormat="1" applyFont="1" applyFill="1" applyBorder="1" applyProtection="1"/>
    <xf numFmtId="0" fontId="8" fillId="2" borderId="2" xfId="0" applyFont="1" applyFill="1" applyBorder="1" applyProtection="1">
      <protection locked="0"/>
    </xf>
    <xf numFmtId="0" fontId="8" fillId="2" borderId="1" xfId="0" applyFont="1" applyFill="1" applyBorder="1" applyProtection="1">
      <protection locked="0"/>
    </xf>
    <xf numFmtId="3" fontId="8" fillId="2" borderId="2" xfId="0" applyNumberFormat="1" applyFont="1" applyFill="1" applyBorder="1" applyProtection="1">
      <protection locked="0"/>
    </xf>
    <xf numFmtId="9" fontId="8" fillId="2" borderId="2" xfId="0" applyNumberFormat="1" applyFont="1" applyFill="1" applyBorder="1" applyProtection="1">
      <protection locked="0"/>
    </xf>
    <xf numFmtId="164" fontId="8" fillId="2" borderId="2" xfId="0" applyNumberFormat="1" applyFont="1" applyFill="1" applyBorder="1" applyProtection="1">
      <protection locked="0"/>
    </xf>
    <xf numFmtId="167" fontId="8" fillId="2" borderId="2" xfId="0" applyNumberFormat="1" applyFont="1" applyFill="1" applyBorder="1" applyProtection="1">
      <protection locked="0"/>
    </xf>
    <xf numFmtId="3" fontId="0" fillId="3" borderId="1" xfId="0" applyNumberFormat="1" applyFill="1" applyBorder="1" applyProtection="1">
      <protection locked="0"/>
    </xf>
    <xf numFmtId="4" fontId="0" fillId="3" borderId="1" xfId="0" applyNumberFormat="1" applyFill="1" applyBorder="1" applyProtection="1">
      <protection locked="0"/>
    </xf>
    <xf numFmtId="164" fontId="0" fillId="3" borderId="1" xfId="2" applyNumberFormat="1" applyFont="1" applyFill="1" applyBorder="1" applyProtection="1">
      <protection locked="0"/>
    </xf>
    <xf numFmtId="3" fontId="4" fillId="3" borderId="1" xfId="0" applyNumberFormat="1" applyFont="1" applyFill="1" applyBorder="1" applyAlignment="1" applyProtection="1">
      <alignment horizontal="centerContinuous"/>
      <protection locked="0"/>
    </xf>
    <xf numFmtId="0" fontId="4" fillId="3" borderId="1" xfId="0" applyFont="1" applyFill="1" applyBorder="1" applyAlignment="1" applyProtection="1">
      <alignment horizontal="center"/>
      <protection locked="0"/>
    </xf>
    <xf numFmtId="2" fontId="4" fillId="3" borderId="1" xfId="0" applyNumberFormat="1" applyFont="1" applyFill="1" applyBorder="1" applyAlignment="1" applyProtection="1">
      <alignment horizontal="center"/>
      <protection locked="0"/>
    </xf>
    <xf numFmtId="171" fontId="4" fillId="3" borderId="1" xfId="0" applyNumberFormat="1" applyFont="1" applyFill="1" applyBorder="1" applyAlignment="1" applyProtection="1">
      <alignment horizontal="center"/>
      <protection locked="0"/>
    </xf>
    <xf numFmtId="0" fontId="4" fillId="3" borderId="1" xfId="0" applyFont="1" applyFill="1" applyBorder="1" applyAlignment="1" applyProtection="1">
      <alignment horizontal="centerContinuous"/>
      <protection locked="0"/>
    </xf>
    <xf numFmtId="168" fontId="4" fillId="3" borderId="1" xfId="0" applyNumberFormat="1" applyFont="1" applyFill="1" applyBorder="1" applyAlignment="1" applyProtection="1">
      <alignment horizontal="center"/>
      <protection locked="0"/>
    </xf>
    <xf numFmtId="0" fontId="0" fillId="4" borderId="1" xfId="0" applyFill="1" applyBorder="1" applyAlignment="1">
      <alignment horizontal="center"/>
    </xf>
    <xf numFmtId="37" fontId="0" fillId="3" borderId="1" xfId="0" applyNumberFormat="1" applyFill="1" applyBorder="1" applyProtection="1">
      <protection locked="0"/>
    </xf>
    <xf numFmtId="6" fontId="0" fillId="3" borderId="1" xfId="0" applyNumberFormat="1" applyFill="1" applyBorder="1" applyProtection="1">
      <protection locked="0"/>
    </xf>
    <xf numFmtId="1" fontId="0" fillId="3" borderId="1" xfId="0" applyNumberFormat="1" applyFill="1" applyBorder="1" applyProtection="1">
      <protection locked="0"/>
    </xf>
    <xf numFmtId="5" fontId="0" fillId="3" borderId="1" xfId="0" applyNumberFormat="1" applyFill="1" applyBorder="1" applyProtection="1">
      <protection locked="0"/>
    </xf>
    <xf numFmtId="9" fontId="0" fillId="3" borderId="1" xfId="2" applyFont="1" applyFill="1" applyBorder="1" applyProtection="1">
      <protection locked="0"/>
    </xf>
    <xf numFmtId="175" fontId="0" fillId="3" borderId="1" xfId="1" applyNumberFormat="1" applyFont="1" applyFill="1" applyBorder="1" applyProtection="1">
      <protection locked="0"/>
    </xf>
    <xf numFmtId="10" fontId="0" fillId="3" borderId="1" xfId="2" applyNumberFormat="1" applyFont="1" applyFill="1" applyBorder="1" applyProtection="1">
      <protection locked="0"/>
    </xf>
    <xf numFmtId="9" fontId="8" fillId="0" borderId="0" xfId="0" applyNumberFormat="1" applyFont="1" applyAlignment="1" applyProtection="1">
      <alignment horizontal="right"/>
    </xf>
    <xf numFmtId="0" fontId="8" fillId="0" borderId="0" xfId="0" applyFont="1" applyAlignment="1" applyProtection="1">
      <alignment horizontal="right"/>
    </xf>
    <xf numFmtId="0" fontId="0" fillId="17" borderId="1" xfId="0" applyFont="1" applyFill="1" applyBorder="1"/>
    <xf numFmtId="2" fontId="0" fillId="17" borderId="13" xfId="0" applyNumberFormat="1" applyFill="1" applyBorder="1" applyAlignment="1">
      <alignment horizontal="right" indent="1"/>
    </xf>
    <xf numFmtId="2" fontId="0" fillId="17" borderId="1" xfId="0" applyNumberFormat="1" applyFill="1" applyBorder="1" applyAlignment="1">
      <alignment horizontal="right" indent="1"/>
    </xf>
    <xf numFmtId="0" fontId="0" fillId="17" borderId="13" xfId="0" applyFont="1" applyFill="1" applyBorder="1"/>
    <xf numFmtId="9" fontId="0" fillId="17" borderId="1" xfId="2" applyFont="1" applyFill="1" applyBorder="1" applyAlignment="1">
      <alignment horizontal="right" indent="1"/>
    </xf>
    <xf numFmtId="0" fontId="2" fillId="17" borderId="18" xfId="0" applyFont="1" applyFill="1" applyBorder="1" applyAlignment="1">
      <alignment horizontal="center"/>
    </xf>
    <xf numFmtId="0" fontId="2" fillId="0" borderId="0" xfId="0" applyFont="1"/>
    <xf numFmtId="9" fontId="8" fillId="19" borderId="2" xfId="2" applyFont="1" applyFill="1" applyBorder="1" applyProtection="1">
      <protection locked="0"/>
    </xf>
    <xf numFmtId="0" fontId="2" fillId="20" borderId="13" xfId="0" applyFont="1" applyFill="1" applyBorder="1"/>
    <xf numFmtId="0" fontId="2" fillId="20" borderId="1" xfId="0" applyFont="1" applyFill="1" applyBorder="1"/>
    <xf numFmtId="0" fontId="2" fillId="21" borderId="18" xfId="0" applyFont="1" applyFill="1" applyBorder="1"/>
    <xf numFmtId="0" fontId="2" fillId="20" borderId="0" xfId="0" applyFont="1" applyFill="1" applyBorder="1"/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8" fillId="2" borderId="1" xfId="0" applyFont="1" applyFill="1" applyBorder="1" applyAlignment="1" applyProtection="1">
      <alignment horizontal="left"/>
      <protection locked="0"/>
    </xf>
    <xf numFmtId="0" fontId="0" fillId="0" borderId="0" xfId="0" applyAlignment="1">
      <alignment horizontal="right" indent="1"/>
    </xf>
    <xf numFmtId="0" fontId="2" fillId="0" borderId="0" xfId="0" applyFont="1" applyAlignment="1" applyProtection="1">
      <alignment horizontal="center"/>
      <protection hidden="1"/>
    </xf>
    <xf numFmtId="0" fontId="0" fillId="0" borderId="0" xfId="0" applyProtection="1">
      <protection hidden="1"/>
    </xf>
    <xf numFmtId="0" fontId="0" fillId="0" borderId="0" xfId="0" applyAlignment="1" applyProtection="1">
      <alignment horizontal="right" indent="1"/>
      <protection hidden="1"/>
    </xf>
    <xf numFmtId="0" fontId="2" fillId="0" borderId="0" xfId="0" quotePrefix="1" applyFont="1"/>
    <xf numFmtId="9" fontId="8" fillId="7" borderId="2" xfId="2" applyFont="1" applyFill="1" applyBorder="1" applyProtection="1"/>
    <xf numFmtId="177" fontId="8" fillId="2" borderId="2" xfId="0" applyNumberFormat="1" applyFont="1" applyFill="1" applyBorder="1" applyProtection="1">
      <protection locked="0"/>
    </xf>
    <xf numFmtId="168" fontId="8" fillId="2" borderId="2" xfId="0" applyNumberFormat="1" applyFont="1" applyFill="1" applyBorder="1" applyProtection="1">
      <protection locked="0"/>
    </xf>
    <xf numFmtId="171" fontId="8" fillId="2" borderId="2" xfId="0" applyNumberFormat="1" applyFont="1" applyFill="1" applyBorder="1" applyProtection="1">
      <protection locked="0"/>
    </xf>
    <xf numFmtId="168" fontId="8" fillId="0" borderId="0" xfId="0" applyNumberFormat="1" applyFont="1" applyProtection="1"/>
    <xf numFmtId="0" fontId="2" fillId="3" borderId="1" xfId="0" applyFont="1" applyFill="1" applyBorder="1" applyAlignment="1" applyProtection="1">
      <alignment horizontal="center"/>
      <protection locked="0"/>
    </xf>
    <xf numFmtId="0" fontId="2" fillId="0" borderId="0" xfId="0" applyFont="1" applyFill="1" applyBorder="1"/>
    <xf numFmtId="2" fontId="2" fillId="3" borderId="1" xfId="0" applyNumberFormat="1" applyFont="1" applyFill="1" applyBorder="1" applyAlignment="1" applyProtection="1">
      <alignment horizontal="center"/>
      <protection locked="0"/>
    </xf>
    <xf numFmtId="44" fontId="2" fillId="0" borderId="0" xfId="1" applyFont="1" applyFill="1" applyBorder="1"/>
    <xf numFmtId="171" fontId="2" fillId="3" borderId="1" xfId="0" applyNumberFormat="1" applyFont="1" applyFill="1" applyBorder="1" applyAlignment="1" applyProtection="1">
      <alignment horizontal="center"/>
      <protection locked="0"/>
    </xf>
    <xf numFmtId="3" fontId="2" fillId="0" borderId="0" xfId="0" applyNumberFormat="1" applyFont="1"/>
    <xf numFmtId="5" fontId="0" fillId="0" borderId="0" xfId="0" applyNumberFormat="1"/>
    <xf numFmtId="10" fontId="0" fillId="9" borderId="1" xfId="2" applyNumberFormat="1" applyFont="1" applyFill="1" applyBorder="1"/>
    <xf numFmtId="0" fontId="8" fillId="0" borderId="0" xfId="0" applyNumberFormat="1" applyFont="1" applyProtection="1"/>
    <xf numFmtId="0" fontId="8" fillId="0" borderId="0" xfId="0" applyFont="1"/>
    <xf numFmtId="39" fontId="0" fillId="0" borderId="0" xfId="0" applyNumberFormat="1"/>
    <xf numFmtId="178" fontId="0" fillId="0" borderId="0" xfId="0" applyNumberFormat="1"/>
    <xf numFmtId="44" fontId="0" fillId="0" borderId="0" xfId="1" applyFont="1"/>
    <xf numFmtId="44" fontId="0" fillId="0" borderId="0" xfId="0" applyNumberFormat="1"/>
    <xf numFmtId="0" fontId="16" fillId="0" borderId="0" xfId="0" applyFont="1"/>
    <xf numFmtId="44" fontId="0" fillId="22" borderId="0" xfId="0" applyNumberFormat="1" applyFill="1"/>
    <xf numFmtId="11" fontId="0" fillId="0" borderId="0" xfId="0" applyNumberFormat="1"/>
    <xf numFmtId="0" fontId="2" fillId="0" borderId="0" xfId="0" applyFont="1" applyFill="1" applyBorder="1" applyAlignment="1">
      <alignment horizontal="center"/>
    </xf>
    <xf numFmtId="172" fontId="2" fillId="0" borderId="0" xfId="0" applyNumberFormat="1" applyFont="1" applyFill="1" applyBorder="1" applyAlignment="1">
      <alignment horizontal="center"/>
    </xf>
    <xf numFmtId="0" fontId="2" fillId="23" borderId="0" xfId="0" applyFont="1" applyFill="1"/>
    <xf numFmtId="0" fontId="0" fillId="23" borderId="0" xfId="0" applyFill="1" applyBorder="1"/>
    <xf numFmtId="0" fontId="0" fillId="0" borderId="0" xfId="0" applyNumberFormat="1"/>
    <xf numFmtId="49" fontId="2" fillId="0" borderId="0" xfId="0" applyNumberFormat="1" applyFont="1" applyAlignment="1">
      <alignment horizontal="right"/>
    </xf>
    <xf numFmtId="44" fontId="0" fillId="22" borderId="0" xfId="1" applyFont="1" applyFill="1"/>
    <xf numFmtId="168" fontId="2" fillId="0" borderId="0" xfId="0" applyNumberFormat="1" applyFont="1"/>
    <xf numFmtId="0" fontId="19" fillId="0" borderId="0" xfId="0" applyFont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 wrapText="1"/>
    </xf>
    <xf numFmtId="3" fontId="19" fillId="0" borderId="0" xfId="0" applyNumberFormat="1" applyFont="1" applyBorder="1" applyAlignment="1">
      <alignment horizontal="center" vertical="center" wrapText="1"/>
    </xf>
    <xf numFmtId="0" fontId="22" fillId="0" borderId="0" xfId="0" applyFont="1"/>
    <xf numFmtId="179" fontId="0" fillId="3" borderId="1" xfId="0" applyNumberFormat="1" applyFill="1" applyBorder="1" applyProtection="1">
      <protection locked="0"/>
    </xf>
    <xf numFmtId="3" fontId="2" fillId="3" borderId="1" xfId="0" applyNumberFormat="1" applyFont="1" applyFill="1" applyBorder="1" applyProtection="1">
      <protection locked="0"/>
    </xf>
    <xf numFmtId="7" fontId="8" fillId="7" borderId="2" xfId="0" applyNumberFormat="1" applyFont="1" applyFill="1" applyBorder="1" applyProtection="1"/>
    <xf numFmtId="0" fontId="23" fillId="0" borderId="0" xfId="0" applyFont="1" applyAlignment="1">
      <alignment vertical="center"/>
    </xf>
    <xf numFmtId="0" fontId="0" fillId="0" borderId="1" xfId="0" applyFill="1" applyBorder="1" applyAlignment="1">
      <alignment horizontal="center"/>
    </xf>
    <xf numFmtId="7" fontId="0" fillId="0" borderId="0" xfId="0" applyNumberFormat="1"/>
    <xf numFmtId="7" fontId="0" fillId="0" borderId="1" xfId="0" applyNumberFormat="1" applyFill="1" applyBorder="1" applyAlignment="1">
      <alignment horizontal="center"/>
    </xf>
    <xf numFmtId="3" fontId="8" fillId="2" borderId="9" xfId="0" applyNumberFormat="1" applyFont="1" applyFill="1" applyBorder="1" applyAlignment="1" applyProtection="1">
      <alignment horizontal="center"/>
      <protection locked="0"/>
    </xf>
    <xf numFmtId="3" fontId="8" fillId="2" borderId="11" xfId="0" applyNumberFormat="1" applyFont="1" applyFill="1" applyBorder="1" applyAlignment="1" applyProtection="1">
      <alignment horizontal="center"/>
      <protection locked="0"/>
    </xf>
    <xf numFmtId="0" fontId="0" fillId="18" borderId="14" xfId="0" applyFill="1" applyBorder="1" applyAlignment="1">
      <alignment horizontal="center"/>
    </xf>
    <xf numFmtId="0" fontId="0" fillId="18" borderId="15" xfId="0" applyFill="1" applyBorder="1" applyAlignment="1">
      <alignment horizontal="center"/>
    </xf>
    <xf numFmtId="0" fontId="8" fillId="2" borderId="9" xfId="0" applyFont="1" applyFill="1" applyBorder="1" applyAlignment="1" applyProtection="1">
      <alignment horizontal="center"/>
      <protection locked="0"/>
    </xf>
    <xf numFmtId="0" fontId="8" fillId="2" borderId="16" xfId="0" applyFont="1" applyFill="1" applyBorder="1" applyAlignment="1" applyProtection="1">
      <alignment horizontal="center"/>
      <protection locked="0"/>
    </xf>
    <xf numFmtId="0" fontId="8" fillId="2" borderId="11" xfId="0" applyFont="1" applyFill="1" applyBorder="1" applyAlignment="1" applyProtection="1">
      <alignment horizontal="center"/>
      <protection locked="0"/>
    </xf>
    <xf numFmtId="0" fontId="3" fillId="0" borderId="0" xfId="0" applyFont="1" applyAlignment="1">
      <alignment horizontal="center"/>
    </xf>
    <xf numFmtId="0" fontId="0" fillId="3" borderId="8" xfId="0" applyFill="1" applyBorder="1" applyAlignment="1" applyProtection="1">
      <alignment horizontal="center"/>
      <protection locked="0"/>
    </xf>
    <xf numFmtId="0" fontId="0" fillId="3" borderId="17" xfId="0" applyFill="1" applyBorder="1" applyAlignment="1" applyProtection="1">
      <alignment horizontal="center"/>
      <protection locked="0"/>
    </xf>
    <xf numFmtId="0" fontId="0" fillId="3" borderId="10" xfId="0" applyFill="1" applyBorder="1" applyAlignment="1" applyProtection="1">
      <alignment horizontal="center"/>
      <protection locked="0"/>
    </xf>
    <xf numFmtId="0" fontId="20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top" wrapText="1"/>
    </xf>
    <xf numFmtId="0" fontId="0" fillId="0" borderId="0" xfId="0" applyAlignment="1">
      <alignment horizontal="center" vertical="top" wrapText="1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8" Type="http://schemas.openxmlformats.org/officeDocument/2006/relationships/chartsheet" Target="chartsheets/sheet4.xml"/><Relationship Id="rId13" Type="http://schemas.openxmlformats.org/officeDocument/2006/relationships/worksheet" Target="worksheets/sheet6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3.xml"/><Relationship Id="rId12" Type="http://schemas.openxmlformats.org/officeDocument/2006/relationships/worksheet" Target="worksheets/sheet5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9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2.xml"/><Relationship Id="rId11" Type="http://schemas.openxmlformats.org/officeDocument/2006/relationships/chartsheet" Target="chartsheets/sheet7.xml"/><Relationship Id="rId5" Type="http://schemas.openxmlformats.org/officeDocument/2006/relationships/chartsheet" Target="chartsheets/sheet1.xml"/><Relationship Id="rId15" Type="http://schemas.openxmlformats.org/officeDocument/2006/relationships/worksheet" Target="worksheets/sheet8.xml"/><Relationship Id="rId10" Type="http://schemas.openxmlformats.org/officeDocument/2006/relationships/chartsheet" Target="chartsheets/sheet6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5.xml"/><Relationship Id="rId14" Type="http://schemas.openxmlformats.org/officeDocument/2006/relationships/worksheet" Target="worksheets/sheet7.xml"/></Relationships>
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Cash Flow</a:t>
            </a:r>
          </a:p>
        </c:rich>
      </c:tx>
      <c:layout>
        <c:manualLayout>
          <c:xMode val="edge"/>
          <c:yMode val="edge"/>
          <c:x val="0.42602893221235044"/>
          <c:y val="1.964003021304334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7864293659621803E-2"/>
          <c:y val="0.10965630114566285"/>
          <c:w val="0.91101223581757507"/>
          <c:h val="0.76104746317512273"/>
        </c:manualLayout>
      </c:layout>
      <c:barChart>
        <c:barDir val="col"/>
        <c:grouping val="clustered"/>
        <c:varyColors val="0"/>
        <c:ser>
          <c:idx val="1"/>
          <c:order val="0"/>
          <c:invertIfNegative val="0"/>
          <c:val>
            <c:numRef>
              <c:f>'CASH FLOW'!$B$44:$AE$44</c:f>
              <c:numCache>
                <c:formatCode>0_)</c:formatCode>
                <c:ptCount val="30"/>
                <c:pt idx="0">
                  <c:v>0</c:v>
                </c:pt>
                <c:pt idx="1">
                  <c:v>-47487</c:v>
                </c:pt>
                <c:pt idx="2">
                  <c:v>-47487</c:v>
                </c:pt>
                <c:pt idx="3">
                  <c:v>-55804.42</c:v>
                </c:pt>
                <c:pt idx="4">
                  <c:v>-15813.472778895059</c:v>
                </c:pt>
                <c:pt idx="5">
                  <c:v>18148.472997610719</c:v>
                </c:pt>
                <c:pt idx="6">
                  <c:v>21763.996996367496</c:v>
                </c:pt>
                <c:pt idx="7">
                  <c:v>22268.529876948618</c:v>
                </c:pt>
                <c:pt idx="8">
                  <c:v>22636.574370487597</c:v>
                </c:pt>
                <c:pt idx="9">
                  <c:v>20638.216865897353</c:v>
                </c:pt>
                <c:pt idx="10">
                  <c:v>19266.437011215301</c:v>
                </c:pt>
                <c:pt idx="11">
                  <c:v>19620.510671439613</c:v>
                </c:pt>
                <c:pt idx="12">
                  <c:v>20012.920884868392</c:v>
                </c:pt>
                <c:pt idx="13">
                  <c:v>20413.179302565783</c:v>
                </c:pt>
                <c:pt idx="14">
                  <c:v>20821.442888617075</c:v>
                </c:pt>
                <c:pt idx="15">
                  <c:v>21237.87174638941</c:v>
                </c:pt>
                <c:pt idx="16">
                  <c:v>21662.62918131721</c:v>
                </c:pt>
                <c:pt idx="17">
                  <c:v>22095.881764943562</c:v>
                </c:pt>
                <c:pt idx="18">
                  <c:v>22537.799400242424</c:v>
                </c:pt>
                <c:pt idx="19">
                  <c:v>22988.555388247263</c:v>
                </c:pt>
                <c:pt idx="20">
                  <c:v>23448.326496012225</c:v>
                </c:pt>
                <c:pt idx="21">
                  <c:v>23917.293025932482</c:v>
                </c:pt>
                <c:pt idx="22">
                  <c:v>24395.638886451092</c:v>
                </c:pt>
                <c:pt idx="23">
                  <c:v>24883.551664180122</c:v>
                </c:pt>
                <c:pt idx="24">
                  <c:v>25381.222697463734</c:v>
                </c:pt>
                <c:pt idx="25">
                  <c:v>25888.847151412978</c:v>
                </c:pt>
                <c:pt idx="26">
                  <c:v>26406.624094441246</c:v>
                </c:pt>
                <c:pt idx="27">
                  <c:v>26934.756576330095</c:v>
                </c:pt>
                <c:pt idx="28">
                  <c:v>27473.451707856682</c:v>
                </c:pt>
                <c:pt idx="29">
                  <c:v>50032.0391661135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C4-484E-B6C1-F59CF67C45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377792"/>
        <c:axId val="64769984"/>
      </c:barChart>
      <c:catAx>
        <c:axId val="10537779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Years</a:t>
                </a:r>
              </a:p>
            </c:rich>
          </c:tx>
          <c:layout>
            <c:manualLayout>
              <c:xMode val="edge"/>
              <c:yMode val="edge"/>
              <c:x val="0.50945490102507229"/>
              <c:y val="0.934533577520943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47699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47699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Cash Flow ($k)</a:t>
                </a:r>
              </a:p>
            </c:rich>
          </c:tx>
          <c:layout>
            <c:manualLayout>
              <c:xMode val="edge"/>
              <c:yMode val="edge"/>
              <c:x val="1.2235793030694031E-2"/>
              <c:y val="0.33872139596661588"/>
            </c:manualLayout>
          </c:layout>
          <c:overlay val="0"/>
          <c:spPr>
            <a:noFill/>
            <a:ln w="25400">
              <a:noFill/>
            </a:ln>
          </c:spPr>
        </c:title>
        <c:numFmt formatCode="\$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053777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Cumulative</a:t>
            </a:r>
            <a:r>
              <a:rPr lang="en-US" sz="2000" baseline="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 Cash Flow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'CASH FLOW'!$B$24:$AE$24</c:f>
              <c:numCache>
                <c:formatCode>General</c:formatCode>
                <c:ptCount val="30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2026</c:v>
                </c:pt>
                <c:pt idx="19">
                  <c:v>2027</c:v>
                </c:pt>
                <c:pt idx="20">
                  <c:v>2028</c:v>
                </c:pt>
                <c:pt idx="21">
                  <c:v>2029</c:v>
                </c:pt>
                <c:pt idx="22">
                  <c:v>2030</c:v>
                </c:pt>
                <c:pt idx="23">
                  <c:v>2031</c:v>
                </c:pt>
                <c:pt idx="24">
                  <c:v>2032</c:v>
                </c:pt>
                <c:pt idx="25">
                  <c:v>2033</c:v>
                </c:pt>
                <c:pt idx="26">
                  <c:v>2034</c:v>
                </c:pt>
                <c:pt idx="27">
                  <c:v>2035</c:v>
                </c:pt>
                <c:pt idx="28">
                  <c:v>2036</c:v>
                </c:pt>
                <c:pt idx="29">
                  <c:v>2039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1B-4FA0-856C-06876A18CA5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'CASH FLOW'!$B$45:$AE$45</c:f>
              <c:numCache>
                <c:formatCode>0_)</c:formatCode>
                <c:ptCount val="30"/>
                <c:pt idx="0">
                  <c:v>0</c:v>
                </c:pt>
                <c:pt idx="1">
                  <c:v>-47487</c:v>
                </c:pt>
                <c:pt idx="2">
                  <c:v>-94974</c:v>
                </c:pt>
                <c:pt idx="3">
                  <c:v>-150778.41999999998</c:v>
                </c:pt>
                <c:pt idx="4">
                  <c:v>-110787.47277889505</c:v>
                </c:pt>
                <c:pt idx="5">
                  <c:v>-92638.999781284336</c:v>
                </c:pt>
                <c:pt idx="6">
                  <c:v>-70875.00278491684</c:v>
                </c:pt>
                <c:pt idx="7">
                  <c:v>-48606.472907968222</c:v>
                </c:pt>
                <c:pt idx="8">
                  <c:v>-25969.898537480625</c:v>
                </c:pt>
                <c:pt idx="9">
                  <c:v>-5331.681671583272</c:v>
                </c:pt>
                <c:pt idx="10">
                  <c:v>13934.755339632029</c:v>
                </c:pt>
                <c:pt idx="11">
                  <c:v>33555.266011071639</c:v>
                </c:pt>
                <c:pt idx="12">
                  <c:v>53568.186895940031</c:v>
                </c:pt>
                <c:pt idx="13">
                  <c:v>73981.366198505813</c:v>
                </c:pt>
                <c:pt idx="14">
                  <c:v>94802.809087122892</c:v>
                </c:pt>
                <c:pt idx="15">
                  <c:v>116040.68083351231</c:v>
                </c:pt>
                <c:pt idx="16">
                  <c:v>137703.31001482951</c:v>
                </c:pt>
                <c:pt idx="17">
                  <c:v>159799.19177977307</c:v>
                </c:pt>
                <c:pt idx="18">
                  <c:v>182336.9911800155</c:v>
                </c:pt>
                <c:pt idx="19">
                  <c:v>205325.54656826277</c:v>
                </c:pt>
                <c:pt idx="20">
                  <c:v>228773.87306427499</c:v>
                </c:pt>
                <c:pt idx="21">
                  <c:v>252691.16609020747</c:v>
                </c:pt>
                <c:pt idx="22">
                  <c:v>277086.80497665855</c:v>
                </c:pt>
                <c:pt idx="23">
                  <c:v>301970.35664083867</c:v>
                </c:pt>
                <c:pt idx="24">
                  <c:v>327351.57933830243</c:v>
                </c:pt>
                <c:pt idx="25">
                  <c:v>353240.42648971541</c:v>
                </c:pt>
                <c:pt idx="26">
                  <c:v>379647.05058415665</c:v>
                </c:pt>
                <c:pt idx="27">
                  <c:v>406581.80716048676</c:v>
                </c:pt>
                <c:pt idx="28">
                  <c:v>434055.25886834343</c:v>
                </c:pt>
                <c:pt idx="29">
                  <c:v>484087.29803445691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DA-ED41-9AC2-664A838B04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379328"/>
        <c:axId val="64773440"/>
      </c:barChart>
      <c:catAx>
        <c:axId val="105379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4773440"/>
        <c:crosses val="autoZero"/>
        <c:auto val="1"/>
        <c:lblAlgn val="ctr"/>
        <c:lblOffset val="100"/>
        <c:noMultiLvlLbl val="0"/>
      </c:catAx>
      <c:valAx>
        <c:axId val="6477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Cumulative Cash Flow -- $k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379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200"/>
            </a:pPr>
            <a:r>
              <a:rPr lang="en-US"/>
              <a:t>50% Variation in TDC vs NPV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3.8368748292276884E-2"/>
          <c:y val="9.8735258927385716E-2"/>
          <c:w val="0.91510901182061444"/>
          <c:h val="0.77577703442945922"/>
        </c:manualLayout>
      </c:layout>
      <c:scatterChart>
        <c:scatterStyle val="lineMarker"/>
        <c:varyColors val="0"/>
        <c:ser>
          <c:idx val="0"/>
          <c:order val="0"/>
          <c:tx>
            <c:v>TDC</c:v>
          </c:tx>
          <c:spPr>
            <a:ln w="3175">
              <a:solidFill>
                <a:srgbClr val="0000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'S3'!$A$11:$A$31</c:f>
              <c:numCache>
                <c:formatCode>General</c:formatCode>
                <c:ptCount val="21"/>
                <c:pt idx="0">
                  <c:v>71950</c:v>
                </c:pt>
                <c:pt idx="1">
                  <c:v>79145.001715421677</c:v>
                </c:pt>
                <c:pt idx="2">
                  <c:v>86339.999142289162</c:v>
                </c:pt>
                <c:pt idx="3">
                  <c:v>93535.000857710838</c:v>
                </c:pt>
                <c:pt idx="4">
                  <c:v>100729.99828457832</c:v>
                </c:pt>
                <c:pt idx="5">
                  <c:v>107925</c:v>
                </c:pt>
                <c:pt idx="6">
                  <c:v>115120.00171542168</c:v>
                </c:pt>
                <c:pt idx="7">
                  <c:v>122315.00128656626</c:v>
                </c:pt>
                <c:pt idx="8">
                  <c:v>129510.00085771084</c:v>
                </c:pt>
                <c:pt idx="9">
                  <c:v>136705.00096492469</c:v>
                </c:pt>
                <c:pt idx="10">
                  <c:v>143900.00107213855</c:v>
                </c:pt>
                <c:pt idx="11">
                  <c:v>151095.0011793524</c:v>
                </c:pt>
                <c:pt idx="12">
                  <c:v>158290.00128656626</c:v>
                </c:pt>
                <c:pt idx="13">
                  <c:v>165485.00085771084</c:v>
                </c:pt>
                <c:pt idx="14">
                  <c:v>172680.00257313251</c:v>
                </c:pt>
                <c:pt idx="15">
                  <c:v>179875</c:v>
                </c:pt>
                <c:pt idx="16">
                  <c:v>187070.00171542168</c:v>
                </c:pt>
                <c:pt idx="17">
                  <c:v>194265.00343084335</c:v>
                </c:pt>
                <c:pt idx="18">
                  <c:v>201460.00085771084</c:v>
                </c:pt>
                <c:pt idx="19">
                  <c:v>208655.00257313251</c:v>
                </c:pt>
                <c:pt idx="20">
                  <c:v>215850</c:v>
                </c:pt>
              </c:numCache>
            </c:numRef>
          </c:xVal>
          <c:yVal>
            <c:numRef>
              <c:f>'S3'!$B$11:$B$31</c:f>
              <c:numCache>
                <c:formatCode>"$"#,##0.00_);\("$"#,##0.00\)</c:formatCode>
                <c:ptCount val="21"/>
                <c:pt idx="0">
                  <c:v>121854.42</c:v>
                </c:pt>
                <c:pt idx="1">
                  <c:v>111815.31</c:v>
                </c:pt>
                <c:pt idx="2">
                  <c:v>101776.2</c:v>
                </c:pt>
                <c:pt idx="3">
                  <c:v>91737.09</c:v>
                </c:pt>
                <c:pt idx="4">
                  <c:v>81697.98</c:v>
                </c:pt>
                <c:pt idx="5">
                  <c:v>71658.87</c:v>
                </c:pt>
                <c:pt idx="6">
                  <c:v>61619.75</c:v>
                </c:pt>
                <c:pt idx="7">
                  <c:v>51580.639999999999</c:v>
                </c:pt>
                <c:pt idx="8">
                  <c:v>41541.53</c:v>
                </c:pt>
                <c:pt idx="9">
                  <c:v>31502.42</c:v>
                </c:pt>
                <c:pt idx="10">
                  <c:v>21463.31</c:v>
                </c:pt>
                <c:pt idx="11">
                  <c:v>11424.2</c:v>
                </c:pt>
                <c:pt idx="12">
                  <c:v>1385.09</c:v>
                </c:pt>
                <c:pt idx="13">
                  <c:v>-8654.02</c:v>
                </c:pt>
                <c:pt idx="14">
                  <c:v>-18693.14</c:v>
                </c:pt>
                <c:pt idx="15">
                  <c:v>-28732.25</c:v>
                </c:pt>
                <c:pt idx="16">
                  <c:v>-38771.360000000001</c:v>
                </c:pt>
                <c:pt idx="17">
                  <c:v>-48810.47</c:v>
                </c:pt>
                <c:pt idx="18">
                  <c:v>-58849.58</c:v>
                </c:pt>
                <c:pt idx="19">
                  <c:v>-68888.69</c:v>
                </c:pt>
                <c:pt idx="20">
                  <c:v>-78927.8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1A-4FD5-A95D-180971132F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769048"/>
        <c:axId val="491769704"/>
      </c:scatterChart>
      <c:valAx>
        <c:axId val="491769048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TDC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91769704"/>
        <c:crosses val="autoZero"/>
        <c:crossBetween val="midCat"/>
      </c:valAx>
      <c:valAx>
        <c:axId val="491769704"/>
        <c:scaling>
          <c:orientation val="minMax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NPV</a:t>
                </a:r>
              </a:p>
            </c:rich>
          </c:tx>
          <c:overlay val="0"/>
        </c:title>
        <c:numFmt formatCode="&quot;$&quot;#,##0.00_);\(&quot;$&quot;#,##0.00\)" sourceLinked="1"/>
        <c:majorTickMark val="out"/>
        <c:minorTickMark val="none"/>
        <c:tickLblPos val="nextTo"/>
        <c:crossAx val="491769048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11566977909412568"/>
          <c:y val="0.16926044387551836"/>
          <c:w val="6.7871862833373486E-2"/>
          <c:h val="3.6437166026757048E-2"/>
        </c:manualLayout>
      </c:layout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200"/>
            </a:pPr>
            <a:r>
              <a:rPr lang="en-US"/>
              <a:t>50% Variation in TVC vs NPV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3.8368748292276884E-2"/>
          <c:y val="9.8735258927385716E-2"/>
          <c:w val="0.91510901182061444"/>
          <c:h val="0.77577703442945922"/>
        </c:manualLayout>
      </c:layout>
      <c:scatterChart>
        <c:scatterStyle val="lineMarker"/>
        <c:varyColors val="0"/>
        <c:ser>
          <c:idx val="0"/>
          <c:order val="0"/>
          <c:tx>
            <c:v>TVC</c:v>
          </c:tx>
          <c:spPr>
            <a:ln w="3175">
              <a:solidFill>
                <a:srgbClr val="0000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'S4'!$A$11:$A$111</c:f>
              <c:numCache>
                <c:formatCode>"$"#,##0.00_);\("$"#,##0.00\)</c:formatCode>
                <c:ptCount val="101"/>
                <c:pt idx="0">
                  <c:v>67523.759999999995</c:v>
                </c:pt>
                <c:pt idx="1">
                  <c:v>68874.240000000005</c:v>
                </c:pt>
                <c:pt idx="2">
                  <c:v>70224.710000000006</c:v>
                </c:pt>
                <c:pt idx="3">
                  <c:v>71575.19</c:v>
                </c:pt>
                <c:pt idx="4">
                  <c:v>72925.66</c:v>
                </c:pt>
                <c:pt idx="5">
                  <c:v>74276.14</c:v>
                </c:pt>
                <c:pt idx="6">
                  <c:v>75626.61</c:v>
                </c:pt>
                <c:pt idx="7">
                  <c:v>76977.09</c:v>
                </c:pt>
                <c:pt idx="8">
                  <c:v>78327.56</c:v>
                </c:pt>
                <c:pt idx="9">
                  <c:v>79678.039999999994</c:v>
                </c:pt>
                <c:pt idx="10">
                  <c:v>81028.509999999995</c:v>
                </c:pt>
                <c:pt idx="11">
                  <c:v>82378.990000000005</c:v>
                </c:pt>
                <c:pt idx="12">
                  <c:v>83729.47</c:v>
                </c:pt>
                <c:pt idx="13">
                  <c:v>85079.94</c:v>
                </c:pt>
                <c:pt idx="14">
                  <c:v>86430.41</c:v>
                </c:pt>
                <c:pt idx="15">
                  <c:v>87780.89</c:v>
                </c:pt>
                <c:pt idx="16">
                  <c:v>89131.37</c:v>
                </c:pt>
                <c:pt idx="17">
                  <c:v>90481.84</c:v>
                </c:pt>
                <c:pt idx="18">
                  <c:v>91832.320000000007</c:v>
                </c:pt>
                <c:pt idx="19">
                  <c:v>93182.79</c:v>
                </c:pt>
                <c:pt idx="20">
                  <c:v>94533.27</c:v>
                </c:pt>
                <c:pt idx="21">
                  <c:v>95883.74</c:v>
                </c:pt>
                <c:pt idx="22">
                  <c:v>97234.22</c:v>
                </c:pt>
                <c:pt idx="23">
                  <c:v>98584.69</c:v>
                </c:pt>
                <c:pt idx="24">
                  <c:v>99935.17</c:v>
                </c:pt>
                <c:pt idx="25">
                  <c:v>101285.64</c:v>
                </c:pt>
                <c:pt idx="26">
                  <c:v>102636.12</c:v>
                </c:pt>
                <c:pt idx="27">
                  <c:v>103986.59</c:v>
                </c:pt>
                <c:pt idx="28">
                  <c:v>105337.07</c:v>
                </c:pt>
                <c:pt idx="29">
                  <c:v>106687.54</c:v>
                </c:pt>
                <c:pt idx="30">
                  <c:v>108038.02</c:v>
                </c:pt>
                <c:pt idx="31">
                  <c:v>109388.49</c:v>
                </c:pt>
                <c:pt idx="32">
                  <c:v>110738.97</c:v>
                </c:pt>
                <c:pt idx="33">
                  <c:v>112089.44</c:v>
                </c:pt>
                <c:pt idx="34">
                  <c:v>113439.92</c:v>
                </c:pt>
                <c:pt idx="35">
                  <c:v>114790.39</c:v>
                </c:pt>
                <c:pt idx="36">
                  <c:v>116140.87</c:v>
                </c:pt>
                <c:pt idx="37">
                  <c:v>117491.34</c:v>
                </c:pt>
                <c:pt idx="38">
                  <c:v>118841.82</c:v>
                </c:pt>
                <c:pt idx="39">
                  <c:v>120192.3</c:v>
                </c:pt>
                <c:pt idx="40">
                  <c:v>121542.77</c:v>
                </c:pt>
                <c:pt idx="41">
                  <c:v>122893.25</c:v>
                </c:pt>
                <c:pt idx="42">
                  <c:v>124243.72</c:v>
                </c:pt>
                <c:pt idx="43">
                  <c:v>125594.2</c:v>
                </c:pt>
                <c:pt idx="44">
                  <c:v>126944.67</c:v>
                </c:pt>
                <c:pt idx="45">
                  <c:v>128295.15</c:v>
                </c:pt>
                <c:pt idx="46">
                  <c:v>129645.62</c:v>
                </c:pt>
                <c:pt idx="47">
                  <c:v>130996.1</c:v>
                </c:pt>
                <c:pt idx="48">
                  <c:v>132346.57</c:v>
                </c:pt>
                <c:pt idx="49">
                  <c:v>133697.04999999999</c:v>
                </c:pt>
                <c:pt idx="50">
                  <c:v>135047.51999999999</c:v>
                </c:pt>
                <c:pt idx="51">
                  <c:v>136398</c:v>
                </c:pt>
                <c:pt idx="52">
                  <c:v>137748.47</c:v>
                </c:pt>
                <c:pt idx="53">
                  <c:v>139098.95000000001</c:v>
                </c:pt>
                <c:pt idx="54">
                  <c:v>140449.42000000001</c:v>
                </c:pt>
                <c:pt idx="55">
                  <c:v>141799.9</c:v>
                </c:pt>
                <c:pt idx="56">
                  <c:v>143150.37</c:v>
                </c:pt>
                <c:pt idx="57">
                  <c:v>144500.85</c:v>
                </c:pt>
                <c:pt idx="58">
                  <c:v>145851.32</c:v>
                </c:pt>
                <c:pt idx="59">
                  <c:v>147201.79999999999</c:v>
                </c:pt>
                <c:pt idx="60">
                  <c:v>148552.26999999999</c:v>
                </c:pt>
                <c:pt idx="61">
                  <c:v>149902.75</c:v>
                </c:pt>
                <c:pt idx="62">
                  <c:v>151253.23000000001</c:v>
                </c:pt>
                <c:pt idx="63">
                  <c:v>152603.70000000001</c:v>
                </c:pt>
                <c:pt idx="64">
                  <c:v>153954.18</c:v>
                </c:pt>
                <c:pt idx="65">
                  <c:v>155304.65</c:v>
                </c:pt>
                <c:pt idx="66">
                  <c:v>156655.13</c:v>
                </c:pt>
                <c:pt idx="67">
                  <c:v>158005.6</c:v>
                </c:pt>
                <c:pt idx="68">
                  <c:v>159356.07999999999</c:v>
                </c:pt>
                <c:pt idx="69">
                  <c:v>160706.54999999999</c:v>
                </c:pt>
                <c:pt idx="70">
                  <c:v>162057.03</c:v>
                </c:pt>
                <c:pt idx="71">
                  <c:v>163407.5</c:v>
                </c:pt>
                <c:pt idx="72">
                  <c:v>164757.98000000001</c:v>
                </c:pt>
                <c:pt idx="73">
                  <c:v>166108.45000000001</c:v>
                </c:pt>
                <c:pt idx="74">
                  <c:v>167458.93</c:v>
                </c:pt>
                <c:pt idx="75">
                  <c:v>168809.4</c:v>
                </c:pt>
                <c:pt idx="76">
                  <c:v>170159.88</c:v>
                </c:pt>
                <c:pt idx="77">
                  <c:v>171510.35</c:v>
                </c:pt>
                <c:pt idx="78">
                  <c:v>172860.83</c:v>
                </c:pt>
                <c:pt idx="79">
                  <c:v>174211.31</c:v>
                </c:pt>
                <c:pt idx="80">
                  <c:v>175561.78</c:v>
                </c:pt>
                <c:pt idx="81">
                  <c:v>176912.25</c:v>
                </c:pt>
                <c:pt idx="82">
                  <c:v>178262.73</c:v>
                </c:pt>
                <c:pt idx="83">
                  <c:v>179613.21</c:v>
                </c:pt>
                <c:pt idx="84">
                  <c:v>180963.68</c:v>
                </c:pt>
                <c:pt idx="85">
                  <c:v>182314.16</c:v>
                </c:pt>
                <c:pt idx="86">
                  <c:v>183664.63</c:v>
                </c:pt>
                <c:pt idx="87">
                  <c:v>185015.1</c:v>
                </c:pt>
                <c:pt idx="88">
                  <c:v>186365.58</c:v>
                </c:pt>
                <c:pt idx="89">
                  <c:v>187716.06</c:v>
                </c:pt>
                <c:pt idx="90">
                  <c:v>189066.53</c:v>
                </c:pt>
                <c:pt idx="91">
                  <c:v>190417</c:v>
                </c:pt>
                <c:pt idx="92">
                  <c:v>191767.48</c:v>
                </c:pt>
                <c:pt idx="93">
                  <c:v>193117.96</c:v>
                </c:pt>
                <c:pt idx="94">
                  <c:v>194468.43</c:v>
                </c:pt>
                <c:pt idx="95">
                  <c:v>195818.91</c:v>
                </c:pt>
                <c:pt idx="96">
                  <c:v>197169.38</c:v>
                </c:pt>
                <c:pt idx="97">
                  <c:v>198519.86</c:v>
                </c:pt>
                <c:pt idx="98">
                  <c:v>199870.33</c:v>
                </c:pt>
                <c:pt idx="99">
                  <c:v>201220.81</c:v>
                </c:pt>
                <c:pt idx="100">
                  <c:v>202571.28</c:v>
                </c:pt>
              </c:numCache>
            </c:numRef>
          </c:xVal>
          <c:yVal>
            <c:numRef>
              <c:f>'S4'!$B$11:$B$111</c:f>
              <c:numCache>
                <c:formatCode>"$"#,##0.00_);\("$"#,##0.00\)</c:formatCode>
                <c:ptCount val="101"/>
                <c:pt idx="0">
                  <c:v>411751.27</c:v>
                </c:pt>
                <c:pt idx="1">
                  <c:v>403945.49</c:v>
                </c:pt>
                <c:pt idx="2">
                  <c:v>396139.76</c:v>
                </c:pt>
                <c:pt idx="3">
                  <c:v>388333.97</c:v>
                </c:pt>
                <c:pt idx="4">
                  <c:v>380528.24</c:v>
                </c:pt>
                <c:pt idx="5">
                  <c:v>372722.46</c:v>
                </c:pt>
                <c:pt idx="6">
                  <c:v>364916.73</c:v>
                </c:pt>
                <c:pt idx="7">
                  <c:v>357110.94</c:v>
                </c:pt>
                <c:pt idx="8">
                  <c:v>349305.21</c:v>
                </c:pt>
                <c:pt idx="9">
                  <c:v>341499.43</c:v>
                </c:pt>
                <c:pt idx="10">
                  <c:v>333693.7</c:v>
                </c:pt>
                <c:pt idx="11">
                  <c:v>325887.90999999997</c:v>
                </c:pt>
                <c:pt idx="12">
                  <c:v>318082.13</c:v>
                </c:pt>
                <c:pt idx="13">
                  <c:v>310276.40000000002</c:v>
                </c:pt>
                <c:pt idx="14">
                  <c:v>302470.67</c:v>
                </c:pt>
                <c:pt idx="15">
                  <c:v>294664.88</c:v>
                </c:pt>
                <c:pt idx="16">
                  <c:v>286859.09000000003</c:v>
                </c:pt>
                <c:pt idx="17">
                  <c:v>279053.37</c:v>
                </c:pt>
                <c:pt idx="18">
                  <c:v>271247.58</c:v>
                </c:pt>
                <c:pt idx="19">
                  <c:v>263441.84999999998</c:v>
                </c:pt>
                <c:pt idx="20">
                  <c:v>255636.06</c:v>
                </c:pt>
                <c:pt idx="21">
                  <c:v>247830.34</c:v>
                </c:pt>
                <c:pt idx="22">
                  <c:v>240024.55</c:v>
                </c:pt>
                <c:pt idx="23">
                  <c:v>232218.82</c:v>
                </c:pt>
                <c:pt idx="24">
                  <c:v>224413.03</c:v>
                </c:pt>
                <c:pt idx="25">
                  <c:v>216607.3</c:v>
                </c:pt>
                <c:pt idx="26">
                  <c:v>208801.52</c:v>
                </c:pt>
                <c:pt idx="27">
                  <c:v>200995.79</c:v>
                </c:pt>
                <c:pt idx="28">
                  <c:v>193190</c:v>
                </c:pt>
                <c:pt idx="29">
                  <c:v>185384.27</c:v>
                </c:pt>
                <c:pt idx="30">
                  <c:v>177578.49</c:v>
                </c:pt>
                <c:pt idx="31">
                  <c:v>169772.76</c:v>
                </c:pt>
                <c:pt idx="32">
                  <c:v>161966.97</c:v>
                </c:pt>
                <c:pt idx="33">
                  <c:v>154161.24</c:v>
                </c:pt>
                <c:pt idx="34">
                  <c:v>146355.46</c:v>
                </c:pt>
                <c:pt idx="35">
                  <c:v>138549.73000000001</c:v>
                </c:pt>
                <c:pt idx="36">
                  <c:v>130743.94</c:v>
                </c:pt>
                <c:pt idx="37">
                  <c:v>122938.21</c:v>
                </c:pt>
                <c:pt idx="38">
                  <c:v>115132.43</c:v>
                </c:pt>
                <c:pt idx="39">
                  <c:v>107326.64</c:v>
                </c:pt>
                <c:pt idx="40">
                  <c:v>99520.91</c:v>
                </c:pt>
                <c:pt idx="41">
                  <c:v>91715.13</c:v>
                </c:pt>
                <c:pt idx="42">
                  <c:v>83909.4</c:v>
                </c:pt>
                <c:pt idx="43">
                  <c:v>76103.61</c:v>
                </c:pt>
                <c:pt idx="44">
                  <c:v>68297.88</c:v>
                </c:pt>
                <c:pt idx="45">
                  <c:v>60492.09</c:v>
                </c:pt>
                <c:pt idx="46">
                  <c:v>52686.37</c:v>
                </c:pt>
                <c:pt idx="47">
                  <c:v>44880.58</c:v>
                </c:pt>
                <c:pt idx="48">
                  <c:v>37074.85</c:v>
                </c:pt>
                <c:pt idx="49">
                  <c:v>29269.06</c:v>
                </c:pt>
                <c:pt idx="50">
                  <c:v>21463.34</c:v>
                </c:pt>
                <c:pt idx="51">
                  <c:v>13657.55</c:v>
                </c:pt>
                <c:pt idx="52">
                  <c:v>5851.82</c:v>
                </c:pt>
                <c:pt idx="53">
                  <c:v>-1953.97</c:v>
                </c:pt>
                <c:pt idx="54">
                  <c:v>-9759.7000000000007</c:v>
                </c:pt>
                <c:pt idx="55">
                  <c:v>-17565.48</c:v>
                </c:pt>
                <c:pt idx="56">
                  <c:v>-25371.21</c:v>
                </c:pt>
                <c:pt idx="57">
                  <c:v>-33177</c:v>
                </c:pt>
                <c:pt idx="58">
                  <c:v>-40982.730000000003</c:v>
                </c:pt>
                <c:pt idx="59">
                  <c:v>-48788.51</c:v>
                </c:pt>
                <c:pt idx="60">
                  <c:v>-56594.239999999998</c:v>
                </c:pt>
                <c:pt idx="61">
                  <c:v>-64400.03</c:v>
                </c:pt>
                <c:pt idx="62">
                  <c:v>-72205.81</c:v>
                </c:pt>
                <c:pt idx="63">
                  <c:v>-80011.539999999994</c:v>
                </c:pt>
                <c:pt idx="64">
                  <c:v>-87817.33</c:v>
                </c:pt>
                <c:pt idx="65">
                  <c:v>-95623.06</c:v>
                </c:pt>
                <c:pt idx="66">
                  <c:v>-103428.84</c:v>
                </c:pt>
                <c:pt idx="67">
                  <c:v>-111234.57</c:v>
                </c:pt>
                <c:pt idx="68">
                  <c:v>-119040.36</c:v>
                </c:pt>
                <c:pt idx="69">
                  <c:v>-126846.09</c:v>
                </c:pt>
                <c:pt idx="70">
                  <c:v>-134651.87</c:v>
                </c:pt>
                <c:pt idx="71">
                  <c:v>-142457.60000000001</c:v>
                </c:pt>
                <c:pt idx="72">
                  <c:v>-150263.39000000001</c:v>
                </c:pt>
                <c:pt idx="73">
                  <c:v>-158069.12</c:v>
                </c:pt>
                <c:pt idx="74">
                  <c:v>-165874.91</c:v>
                </c:pt>
                <c:pt idx="75">
                  <c:v>-173680.63</c:v>
                </c:pt>
                <c:pt idx="76">
                  <c:v>-181486.42</c:v>
                </c:pt>
                <c:pt idx="77">
                  <c:v>-189292.15</c:v>
                </c:pt>
                <c:pt idx="78">
                  <c:v>-197097.94</c:v>
                </c:pt>
                <c:pt idx="79">
                  <c:v>-204903.72</c:v>
                </c:pt>
                <c:pt idx="80">
                  <c:v>-212709.45</c:v>
                </c:pt>
                <c:pt idx="81">
                  <c:v>-220515.18</c:v>
                </c:pt>
                <c:pt idx="82">
                  <c:v>-228320.97</c:v>
                </c:pt>
                <c:pt idx="83">
                  <c:v>-236126.75</c:v>
                </c:pt>
                <c:pt idx="84">
                  <c:v>-243932.48</c:v>
                </c:pt>
                <c:pt idx="85">
                  <c:v>-251738.27</c:v>
                </c:pt>
                <c:pt idx="86">
                  <c:v>-259544</c:v>
                </c:pt>
                <c:pt idx="87">
                  <c:v>-267349.73</c:v>
                </c:pt>
                <c:pt idx="88">
                  <c:v>-275155.51</c:v>
                </c:pt>
                <c:pt idx="89">
                  <c:v>-282961.3</c:v>
                </c:pt>
                <c:pt idx="90">
                  <c:v>-290767.03000000003</c:v>
                </c:pt>
                <c:pt idx="91">
                  <c:v>-298572.76</c:v>
                </c:pt>
                <c:pt idx="92">
                  <c:v>-306378.53999999998</c:v>
                </c:pt>
                <c:pt idx="93">
                  <c:v>-314184.33</c:v>
                </c:pt>
                <c:pt idx="94">
                  <c:v>-321990.06</c:v>
                </c:pt>
                <c:pt idx="95">
                  <c:v>-329795.84000000003</c:v>
                </c:pt>
                <c:pt idx="96">
                  <c:v>-337601.57</c:v>
                </c:pt>
                <c:pt idx="97">
                  <c:v>-345407.36</c:v>
                </c:pt>
                <c:pt idx="98">
                  <c:v>-353213.09</c:v>
                </c:pt>
                <c:pt idx="99">
                  <c:v>-361018.87</c:v>
                </c:pt>
                <c:pt idx="100">
                  <c:v>-368824.6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14-4A03-8972-2BCF5AF505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655440"/>
        <c:axId val="490653472"/>
      </c:scatterChart>
      <c:valAx>
        <c:axId val="490655440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TVC</a:t>
                </a:r>
              </a:p>
            </c:rich>
          </c:tx>
          <c:overlay val="0"/>
        </c:title>
        <c:numFmt formatCode="&quot;$&quot;#,##0.00_);\(&quot;$&quot;#,##0.00\)" sourceLinked="1"/>
        <c:majorTickMark val="out"/>
        <c:minorTickMark val="none"/>
        <c:tickLblPos val="nextTo"/>
        <c:crossAx val="490653472"/>
        <c:crosses val="autoZero"/>
        <c:crossBetween val="midCat"/>
      </c:valAx>
      <c:valAx>
        <c:axId val="490653472"/>
        <c:scaling>
          <c:orientation val="minMax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NPV</a:t>
                </a:r>
              </a:p>
            </c:rich>
          </c:tx>
          <c:overlay val="0"/>
        </c:title>
        <c:numFmt formatCode="&quot;$&quot;#,##0.00_);\(&quot;$&quot;#,##0.00\)" sourceLinked="1"/>
        <c:majorTickMark val="out"/>
        <c:minorTickMark val="none"/>
        <c:tickLblPos val="nextTo"/>
        <c:crossAx val="490655440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11566977909412568"/>
          <c:y val="0.16926044387551836"/>
          <c:w val="6.7176437629051983E-2"/>
          <c:h val="3.6437166026757048E-2"/>
        </c:manualLayout>
      </c:layout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200"/>
            </a:pPr>
            <a:r>
              <a:rPr lang="en-US"/>
              <a:t>100% Variability in kWh Requirement vs ROI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3.8368748292276884E-2"/>
          <c:y val="9.8735258927385716E-2"/>
          <c:w val="0.91510901182061444"/>
          <c:h val="0.77577703442945922"/>
        </c:manualLayout>
      </c:layout>
      <c:scatterChart>
        <c:scatterStyle val="lineMarker"/>
        <c:varyColors val="0"/>
        <c:ser>
          <c:idx val="0"/>
          <c:order val="0"/>
          <c:tx>
            <c:v>kWh/ kg C2H3Cl</c:v>
          </c:tx>
          <c:spPr>
            <a:ln w="3175">
              <a:solidFill>
                <a:srgbClr val="0000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'S2'!$A$11:$A$51</c:f>
              <c:numCache>
                <c:formatCode>General</c:formatCode>
                <c:ptCount val="41"/>
                <c:pt idx="0">
                  <c:v>0</c:v>
                </c:pt>
                <c:pt idx="1">
                  <c:v>6.7495016092061988E-2</c:v>
                </c:pt>
                <c:pt idx="2">
                  <c:v>0.13499003218412398</c:v>
                </c:pt>
                <c:pt idx="3">
                  <c:v>0.20248496781587599</c:v>
                </c:pt>
                <c:pt idx="4">
                  <c:v>0.26997998390793798</c:v>
                </c:pt>
                <c:pt idx="5">
                  <c:v>0.33747499999999997</c:v>
                </c:pt>
                <c:pt idx="6">
                  <c:v>0.40497001609206207</c:v>
                </c:pt>
                <c:pt idx="7">
                  <c:v>0.47246503218412406</c:v>
                </c:pt>
                <c:pt idx="8">
                  <c:v>0.53995996781587607</c:v>
                </c:pt>
                <c:pt idx="9">
                  <c:v>0.60745498390793806</c:v>
                </c:pt>
                <c:pt idx="10">
                  <c:v>0.67495000000000005</c:v>
                </c:pt>
                <c:pt idx="11">
                  <c:v>0.74244501609206204</c:v>
                </c:pt>
                <c:pt idx="12">
                  <c:v>0.80994003218412403</c:v>
                </c:pt>
                <c:pt idx="13">
                  <c:v>0.87743500804603114</c:v>
                </c:pt>
                <c:pt idx="14">
                  <c:v>0.94493002413809313</c:v>
                </c:pt>
                <c:pt idx="15">
                  <c:v>1.0124250201150775</c:v>
                </c:pt>
                <c:pt idx="16">
                  <c:v>1.0799200160920621</c:v>
                </c:pt>
                <c:pt idx="17">
                  <c:v>1.1474150120690465</c:v>
                </c:pt>
                <c:pt idx="18">
                  <c:v>1.2149100181035699</c:v>
                </c:pt>
                <c:pt idx="19">
                  <c:v>1.2824050191093237</c:v>
                </c:pt>
                <c:pt idx="20">
                  <c:v>1.3499000201150777</c:v>
                </c:pt>
                <c:pt idx="21">
                  <c:v>1.4173950211208315</c:v>
                </c:pt>
                <c:pt idx="22">
                  <c:v>1.4848900221265853</c:v>
                </c:pt>
                <c:pt idx="23">
                  <c:v>1.5523850281611087</c:v>
                </c:pt>
                <c:pt idx="24">
                  <c:v>1.6198800241380931</c:v>
                </c:pt>
                <c:pt idx="25">
                  <c:v>1.6873750402301551</c:v>
                </c:pt>
                <c:pt idx="26">
                  <c:v>1.7548700160920621</c:v>
                </c:pt>
                <c:pt idx="27">
                  <c:v>1.822365032184124</c:v>
                </c:pt>
                <c:pt idx="28">
                  <c:v>1.8898600482761863</c:v>
                </c:pt>
                <c:pt idx="29">
                  <c:v>1.957355024138093</c:v>
                </c:pt>
                <c:pt idx="30">
                  <c:v>2.0248500000000003</c:v>
                </c:pt>
                <c:pt idx="31">
                  <c:v>2.0923450160920622</c:v>
                </c:pt>
                <c:pt idx="32">
                  <c:v>2.1598400321841242</c:v>
                </c:pt>
                <c:pt idx="33">
                  <c:v>2.2273350482761862</c:v>
                </c:pt>
                <c:pt idx="34">
                  <c:v>2.2948300643682482</c:v>
                </c:pt>
                <c:pt idx="35">
                  <c:v>2.3623250000000002</c:v>
                </c:pt>
                <c:pt idx="36">
                  <c:v>2.4298200160920622</c:v>
                </c:pt>
                <c:pt idx="37">
                  <c:v>2.4973150321841242</c:v>
                </c:pt>
                <c:pt idx="38">
                  <c:v>2.5648100482761862</c:v>
                </c:pt>
                <c:pt idx="39">
                  <c:v>2.6323050643682482</c:v>
                </c:pt>
                <c:pt idx="40">
                  <c:v>2.6998000000000002</c:v>
                </c:pt>
              </c:numCache>
            </c:numRef>
          </c:xVal>
          <c:yVal>
            <c:numRef>
              <c:f>'S2'!$B$11:$B$51</c:f>
              <c:numCache>
                <c:formatCode>General</c:formatCode>
                <c:ptCount val="41"/>
                <c:pt idx="0">
                  <c:v>0.16210967126181083</c:v>
                </c:pt>
                <c:pt idx="1">
                  <c:v>0.15970233640840348</c:v>
                </c:pt>
                <c:pt idx="2">
                  <c:v>0.15729500155499598</c:v>
                </c:pt>
                <c:pt idx="3">
                  <c:v>0.15488766957135464</c:v>
                </c:pt>
                <c:pt idx="4">
                  <c:v>0.15248033471794717</c:v>
                </c:pt>
                <c:pt idx="5">
                  <c:v>0.15007299986453967</c:v>
                </c:pt>
                <c:pt idx="6">
                  <c:v>0.14766566501113232</c:v>
                </c:pt>
                <c:pt idx="7">
                  <c:v>0.14525833015772482</c:v>
                </c:pt>
                <c:pt idx="8">
                  <c:v>0.14285099817408353</c:v>
                </c:pt>
                <c:pt idx="9">
                  <c:v>0.14044366332067604</c:v>
                </c:pt>
                <c:pt idx="10">
                  <c:v>0.13803632846726854</c:v>
                </c:pt>
                <c:pt idx="11">
                  <c:v>0.13562899361386113</c:v>
                </c:pt>
                <c:pt idx="12">
                  <c:v>0.13322165876045378</c:v>
                </c:pt>
                <c:pt idx="13">
                  <c:v>0.13081432534192941</c:v>
                </c:pt>
                <c:pt idx="14">
                  <c:v>0.12840699048852192</c:v>
                </c:pt>
                <c:pt idx="15">
                  <c:v>0.12599965635255608</c:v>
                </c:pt>
                <c:pt idx="16">
                  <c:v>0.12359232221659013</c:v>
                </c:pt>
                <c:pt idx="17">
                  <c:v>0.12118498808062406</c:v>
                </c:pt>
                <c:pt idx="18">
                  <c:v>0.11877765358593752</c:v>
                </c:pt>
                <c:pt idx="19">
                  <c:v>0.11637031927061114</c:v>
                </c:pt>
                <c:pt idx="20">
                  <c:v>0.1139629849552847</c:v>
                </c:pt>
                <c:pt idx="21">
                  <c:v>0.11155565063995847</c:v>
                </c:pt>
                <c:pt idx="22">
                  <c:v>0.10914831632463222</c:v>
                </c:pt>
                <c:pt idx="23">
                  <c:v>0.10674098182994556</c:v>
                </c:pt>
                <c:pt idx="24">
                  <c:v>0.10433364769397961</c:v>
                </c:pt>
                <c:pt idx="25">
                  <c:v>0.10192631284057224</c:v>
                </c:pt>
                <c:pt idx="26">
                  <c:v>9.9518979422047821E-2</c:v>
                </c:pt>
                <c:pt idx="27">
                  <c:v>9.7111644568640326E-2</c:v>
                </c:pt>
                <c:pt idx="28">
                  <c:v>9.470430971523297E-2</c:v>
                </c:pt>
                <c:pt idx="29">
                  <c:v>9.2296976296708411E-2</c:v>
                </c:pt>
                <c:pt idx="30">
                  <c:v>8.9889642878184059E-2</c:v>
                </c:pt>
                <c:pt idx="31">
                  <c:v>8.7482308024776495E-2</c:v>
                </c:pt>
                <c:pt idx="32">
                  <c:v>8.5074973171369334E-2</c:v>
                </c:pt>
                <c:pt idx="33">
                  <c:v>8.2667638317961784E-2</c:v>
                </c:pt>
                <c:pt idx="34">
                  <c:v>8.026030346455422E-2</c:v>
                </c:pt>
                <c:pt idx="35">
                  <c:v>7.7852971480912941E-2</c:v>
                </c:pt>
                <c:pt idx="36">
                  <c:v>7.5445636627505377E-2</c:v>
                </c:pt>
                <c:pt idx="37">
                  <c:v>7.3038301774098091E-2</c:v>
                </c:pt>
                <c:pt idx="38">
                  <c:v>7.0630966920690791E-2</c:v>
                </c:pt>
                <c:pt idx="39">
                  <c:v>6.8223632067283102E-2</c:v>
                </c:pt>
                <c:pt idx="40">
                  <c:v>6.5816300083641824E-2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7D-4E82-BFA6-81301FDDE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9051760"/>
        <c:axId val="345090720"/>
      </c:scatterChart>
      <c:valAx>
        <c:axId val="569051760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kWh/ kg C2H3Cl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45090720"/>
        <c:crosses val="autoZero"/>
        <c:crossBetween val="midCat"/>
      </c:valAx>
      <c:valAx>
        <c:axId val="345090720"/>
        <c:scaling>
          <c:orientation val="minMax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ROI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69051760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11566977909412568"/>
          <c:y val="0.16926044387551836"/>
          <c:w val="0.1400486290369998"/>
          <c:h val="3.6437166026757048E-2"/>
        </c:manualLayout>
      </c:layout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200"/>
            </a:pPr>
            <a:r>
              <a:rPr lang="en-US"/>
              <a:t>50% Variability in TDC vs ROI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3.8368748292276884E-2"/>
          <c:y val="9.8735258927385716E-2"/>
          <c:w val="0.91510901182061444"/>
          <c:h val="0.77577703442945922"/>
        </c:manualLayout>
      </c:layout>
      <c:scatterChart>
        <c:scatterStyle val="lineMarker"/>
        <c:varyColors val="0"/>
        <c:ser>
          <c:idx val="0"/>
          <c:order val="0"/>
          <c:tx>
            <c:v>TDC</c:v>
          </c:tx>
          <c:spPr>
            <a:ln w="3175">
              <a:solidFill>
                <a:srgbClr val="0000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'S1'!$A$11:$A$111</c:f>
              <c:numCache>
                <c:formatCode>General</c:formatCode>
                <c:ptCount val="101"/>
                <c:pt idx="0">
                  <c:v>70950</c:v>
                </c:pt>
                <c:pt idx="1">
                  <c:v>72368.998646736145</c:v>
                </c:pt>
                <c:pt idx="2">
                  <c:v>73788.001522421837</c:v>
                </c:pt>
                <c:pt idx="3">
                  <c:v>75207.000169157982</c:v>
                </c:pt>
                <c:pt idx="4">
                  <c:v>76625.998815894127</c:v>
                </c:pt>
                <c:pt idx="5">
                  <c:v>78045.001691579819</c:v>
                </c:pt>
                <c:pt idx="6">
                  <c:v>79464.000338315964</c:v>
                </c:pt>
                <c:pt idx="7">
                  <c:v>80882.998985052109</c:v>
                </c:pt>
                <c:pt idx="8">
                  <c:v>82301.997631788254</c:v>
                </c:pt>
                <c:pt idx="9">
                  <c:v>83721.000507473946</c:v>
                </c:pt>
                <c:pt idx="10">
                  <c:v>85139.999154210091</c:v>
                </c:pt>
                <c:pt idx="11">
                  <c:v>86558.997800946236</c:v>
                </c:pt>
                <c:pt idx="12">
                  <c:v>87978.000676631927</c:v>
                </c:pt>
                <c:pt idx="13">
                  <c:v>89396.999323368073</c:v>
                </c:pt>
                <c:pt idx="14">
                  <c:v>90815.997970104218</c:v>
                </c:pt>
                <c:pt idx="15">
                  <c:v>92235.000845789909</c:v>
                </c:pt>
                <c:pt idx="16">
                  <c:v>93653.999492526054</c:v>
                </c:pt>
                <c:pt idx="17">
                  <c:v>95072.998139262199</c:v>
                </c:pt>
                <c:pt idx="18">
                  <c:v>96492.001014947891</c:v>
                </c:pt>
                <c:pt idx="19">
                  <c:v>97910.999661684036</c:v>
                </c:pt>
                <c:pt idx="20">
                  <c:v>99329.998308420181</c:v>
                </c:pt>
                <c:pt idx="21">
                  <c:v>100749.00118410587</c:v>
                </c:pt>
                <c:pt idx="22">
                  <c:v>102167.99983084202</c:v>
                </c:pt>
                <c:pt idx="23">
                  <c:v>103586.99847757816</c:v>
                </c:pt>
                <c:pt idx="24">
                  <c:v>105006.00135326385</c:v>
                </c:pt>
                <c:pt idx="25">
                  <c:v>106425</c:v>
                </c:pt>
                <c:pt idx="26">
                  <c:v>107843.99864673615</c:v>
                </c:pt>
                <c:pt idx="27">
                  <c:v>109262.99940794706</c:v>
                </c:pt>
                <c:pt idx="28">
                  <c:v>110682.00016915798</c:v>
                </c:pt>
                <c:pt idx="29">
                  <c:v>112100.99881589413</c:v>
                </c:pt>
                <c:pt idx="30">
                  <c:v>113519.99957710505</c:v>
                </c:pt>
                <c:pt idx="31">
                  <c:v>114938.99822384119</c:v>
                </c:pt>
                <c:pt idx="32">
                  <c:v>116357.99898505211</c:v>
                </c:pt>
                <c:pt idx="33">
                  <c:v>117776.99974626303</c:v>
                </c:pt>
                <c:pt idx="34">
                  <c:v>119195.99839299917</c:v>
                </c:pt>
                <c:pt idx="35">
                  <c:v>120614.99915421009</c:v>
                </c:pt>
                <c:pt idx="36">
                  <c:v>122033.99780094624</c:v>
                </c:pt>
                <c:pt idx="37">
                  <c:v>123452.99856215715</c:v>
                </c:pt>
                <c:pt idx="38">
                  <c:v>124871.99932336807</c:v>
                </c:pt>
                <c:pt idx="39">
                  <c:v>126290.9990273416</c:v>
                </c:pt>
                <c:pt idx="40">
                  <c:v>127709.99873131514</c:v>
                </c:pt>
                <c:pt idx="41">
                  <c:v>129128.99843528867</c:v>
                </c:pt>
                <c:pt idx="42">
                  <c:v>130547.9981392622</c:v>
                </c:pt>
                <c:pt idx="43">
                  <c:v>131966.99890047312</c:v>
                </c:pt>
                <c:pt idx="44">
                  <c:v>133385.99860444665</c:v>
                </c:pt>
                <c:pt idx="45">
                  <c:v>134804.99830842018</c:v>
                </c:pt>
                <c:pt idx="46">
                  <c:v>136223.99854101241</c:v>
                </c:pt>
                <c:pt idx="47">
                  <c:v>137642.99850929528</c:v>
                </c:pt>
                <c:pt idx="48">
                  <c:v>139061.99847757816</c:v>
                </c:pt>
                <c:pt idx="49">
                  <c:v>140480.99844586104</c:v>
                </c:pt>
                <c:pt idx="50">
                  <c:v>141899.99841414392</c:v>
                </c:pt>
                <c:pt idx="51">
                  <c:v>143318.9983824268</c:v>
                </c:pt>
                <c:pt idx="52">
                  <c:v>144737.99835070968</c:v>
                </c:pt>
                <c:pt idx="53">
                  <c:v>146156.99831899256</c:v>
                </c:pt>
                <c:pt idx="54">
                  <c:v>147575.99828727543</c:v>
                </c:pt>
                <c:pt idx="55">
                  <c:v>148994.99851986766</c:v>
                </c:pt>
                <c:pt idx="56">
                  <c:v>150413.99822384119</c:v>
                </c:pt>
                <c:pt idx="57">
                  <c:v>151832.99792781472</c:v>
                </c:pt>
                <c:pt idx="58">
                  <c:v>153251.99763178825</c:v>
                </c:pt>
                <c:pt idx="59">
                  <c:v>154670.99839299917</c:v>
                </c:pt>
                <c:pt idx="60">
                  <c:v>156089.9980969727</c:v>
                </c:pt>
                <c:pt idx="61">
                  <c:v>157508.99780094624</c:v>
                </c:pt>
                <c:pt idx="62">
                  <c:v>158927.99856215715</c:v>
                </c:pt>
                <c:pt idx="63">
                  <c:v>160346.9972088933</c:v>
                </c:pt>
                <c:pt idx="64">
                  <c:v>161765.99797010422</c:v>
                </c:pt>
                <c:pt idx="65">
                  <c:v>163184.99873131514</c:v>
                </c:pt>
                <c:pt idx="66">
                  <c:v>164603.99737805128</c:v>
                </c:pt>
                <c:pt idx="67">
                  <c:v>166022.9981392622</c:v>
                </c:pt>
                <c:pt idx="68">
                  <c:v>167441.99678599834</c:v>
                </c:pt>
                <c:pt idx="69">
                  <c:v>168860.99754720926</c:v>
                </c:pt>
                <c:pt idx="70">
                  <c:v>170279.99830842018</c:v>
                </c:pt>
                <c:pt idx="71">
                  <c:v>171698.99695515633</c:v>
                </c:pt>
                <c:pt idx="72">
                  <c:v>173117.99771636724</c:v>
                </c:pt>
                <c:pt idx="73">
                  <c:v>174536.99847757816</c:v>
                </c:pt>
                <c:pt idx="74">
                  <c:v>175955.99712431431</c:v>
                </c:pt>
                <c:pt idx="75">
                  <c:v>177374.99788552523</c:v>
                </c:pt>
                <c:pt idx="76">
                  <c:v>178793.99864673615</c:v>
                </c:pt>
                <c:pt idx="77">
                  <c:v>180212.99729347229</c:v>
                </c:pt>
                <c:pt idx="78">
                  <c:v>181631.99594020844</c:v>
                </c:pt>
                <c:pt idx="79">
                  <c:v>183050.99881589413</c:v>
                </c:pt>
                <c:pt idx="80">
                  <c:v>184469.99746263027</c:v>
                </c:pt>
                <c:pt idx="81">
                  <c:v>185888.99610936642</c:v>
                </c:pt>
                <c:pt idx="82">
                  <c:v>187307.99898505211</c:v>
                </c:pt>
                <c:pt idx="83">
                  <c:v>188726.99763178825</c:v>
                </c:pt>
                <c:pt idx="84">
                  <c:v>190145.9962785244</c:v>
                </c:pt>
                <c:pt idx="85">
                  <c:v>191564.99915421009</c:v>
                </c:pt>
                <c:pt idx="86">
                  <c:v>192983.99780094624</c:v>
                </c:pt>
                <c:pt idx="87">
                  <c:v>194402.99644768238</c:v>
                </c:pt>
                <c:pt idx="88">
                  <c:v>195821.99932336807</c:v>
                </c:pt>
                <c:pt idx="89">
                  <c:v>197240.99797010422</c:v>
                </c:pt>
                <c:pt idx="90">
                  <c:v>198659.99661684036</c:v>
                </c:pt>
                <c:pt idx="91">
                  <c:v>200078.99526357651</c:v>
                </c:pt>
                <c:pt idx="92">
                  <c:v>201497.9981392622</c:v>
                </c:pt>
                <c:pt idx="93">
                  <c:v>202916.99678599834</c:v>
                </c:pt>
                <c:pt idx="94">
                  <c:v>204335.99543273449</c:v>
                </c:pt>
                <c:pt idx="95">
                  <c:v>205754.99830842018</c:v>
                </c:pt>
                <c:pt idx="96">
                  <c:v>207173.99695515633</c:v>
                </c:pt>
                <c:pt idx="97">
                  <c:v>208592.99560189247</c:v>
                </c:pt>
                <c:pt idx="98">
                  <c:v>210011.99847757816</c:v>
                </c:pt>
                <c:pt idx="99">
                  <c:v>211430.99712431431</c:v>
                </c:pt>
                <c:pt idx="100">
                  <c:v>212849.99577105045</c:v>
                </c:pt>
              </c:numCache>
            </c:numRef>
          </c:xVal>
          <c:yVal>
            <c:numRef>
              <c:f>'S1'!$B$11:$B$111</c:f>
              <c:numCache>
                <c:formatCode>General</c:formatCode>
                <c:ptCount val="101"/>
                <c:pt idx="0">
                  <c:v>0.26031097923925489</c:v>
                </c:pt>
                <c:pt idx="1">
                  <c:v>0.2550402415508673</c:v>
                </c:pt>
                <c:pt idx="2">
                  <c:v>0.24993898731980607</c:v>
                </c:pt>
                <c:pt idx="3">
                  <c:v>0.24499920012563928</c:v>
                </c:pt>
                <c:pt idx="4">
                  <c:v>0.24021331913126562</c:v>
                </c:pt>
                <c:pt idx="5">
                  <c:v>0.23557424830014609</c:v>
                </c:pt>
                <c:pt idx="6">
                  <c:v>0.23107536083572344</c:v>
                </c:pt>
                <c:pt idx="7">
                  <c:v>0.22671038440990279</c:v>
                </c:pt>
                <c:pt idx="8">
                  <c:v>0.22247342783249519</c:v>
                </c:pt>
                <c:pt idx="9">
                  <c:v>0.21835892839809085</c:v>
                </c:pt>
                <c:pt idx="10">
                  <c:v>0.21436167630782332</c:v>
                </c:pt>
                <c:pt idx="11">
                  <c:v>0.21047671890467251</c:v>
                </c:pt>
                <c:pt idx="12">
                  <c:v>0.20669937859793433</c:v>
                </c:pt>
                <c:pt idx="13">
                  <c:v>0.2030252664290022</c:v>
                </c:pt>
                <c:pt idx="14">
                  <c:v>0.19945019736018516</c:v>
                </c:pt>
                <c:pt idx="15">
                  <c:v>0.19597020956027056</c:v>
                </c:pt>
                <c:pt idx="16">
                  <c:v>0.19258157961879849</c:v>
                </c:pt>
                <c:pt idx="17">
                  <c:v>0.18928074689834995</c:v>
                </c:pt>
                <c:pt idx="18">
                  <c:v>0.18606433341967746</c:v>
                </c:pt>
                <c:pt idx="19">
                  <c:v>0.18292915997401688</c:v>
                </c:pt>
                <c:pt idx="20">
                  <c:v>0.17987217801501831</c:v>
                </c:pt>
                <c:pt idx="21">
                  <c:v>0.17689048964026238</c:v>
                </c:pt>
                <c:pt idx="22">
                  <c:v>0.17398136409298923</c:v>
                </c:pt>
                <c:pt idx="23">
                  <c:v>0.1711421760072146</c:v>
                </c:pt>
                <c:pt idx="24">
                  <c:v>0.16837042515612632</c:v>
                </c:pt>
                <c:pt idx="25">
                  <c:v>0.1656637529994486</c:v>
                </c:pt>
                <c:pt idx="26">
                  <c:v>0.16301988634369494</c:v>
                </c:pt>
                <c:pt idx="27">
                  <c:v>0.16043666045070951</c:v>
                </c:pt>
                <c:pt idx="28">
                  <c:v>0.15791201637442109</c:v>
                </c:pt>
                <c:pt idx="29">
                  <c:v>0.15544398733564604</c:v>
                </c:pt>
                <c:pt idx="30">
                  <c:v>0.15303068295327968</c:v>
                </c:pt>
                <c:pt idx="31">
                  <c:v>0.15067030999327685</c:v>
                </c:pt>
                <c:pt idx="32">
                  <c:v>0.14836113910776075</c:v>
                </c:pt>
                <c:pt idx="33">
                  <c:v>0.1461015254627708</c:v>
                </c:pt>
                <c:pt idx="34">
                  <c:v>0.14388989392995019</c:v>
                </c:pt>
                <c:pt idx="35">
                  <c:v>0.14172472585537646</c:v>
                </c:pt>
                <c:pt idx="36">
                  <c:v>0.13960457850865921</c:v>
                </c:pt>
                <c:pt idx="37">
                  <c:v>0.13752805602739773</c:v>
                </c:pt>
                <c:pt idx="38">
                  <c:v>0.13549382866362689</c:v>
                </c:pt>
                <c:pt idx="39">
                  <c:v>0.13350061869890717</c:v>
                </c:pt>
                <c:pt idx="40">
                  <c:v>0.13154719648568344</c:v>
                </c:pt>
                <c:pt idx="41">
                  <c:v>0.12963238245353018</c:v>
                </c:pt>
                <c:pt idx="42">
                  <c:v>0.12775504320271325</c:v>
                </c:pt>
                <c:pt idx="43">
                  <c:v>0.12591408790874117</c:v>
                </c:pt>
                <c:pt idx="44">
                  <c:v>0.12410847167332188</c:v>
                </c:pt>
                <c:pt idx="45">
                  <c:v>0.12233718530778333</c:v>
                </c:pt>
                <c:pt idx="46">
                  <c:v>0.12059925832867724</c:v>
                </c:pt>
                <c:pt idx="47">
                  <c:v>0.11889375806454121</c:v>
                </c:pt>
                <c:pt idx="48">
                  <c:v>0.11721978505504063</c:v>
                </c:pt>
                <c:pt idx="49">
                  <c:v>0.11557647310430359</c:v>
                </c:pt>
                <c:pt idx="50">
                  <c:v>0.11396298745957287</c:v>
                </c:pt>
                <c:pt idx="51">
                  <c:v>0.11237852339729683</c:v>
                </c:pt>
                <c:pt idx="52">
                  <c:v>0.11082230488483535</c:v>
                </c:pt>
                <c:pt idx="53">
                  <c:v>0.10929358331310533</c:v>
                </c:pt>
                <c:pt idx="54">
                  <c:v>0.1077916362958166</c:v>
                </c:pt>
                <c:pt idx="55">
                  <c:v>0.10631576625873637</c:v>
                </c:pt>
                <c:pt idx="56">
                  <c:v>0.10486530072282393</c:v>
                </c:pt>
                <c:pt idx="57">
                  <c:v>0.10343958881818875</c:v>
                </c:pt>
                <c:pt idx="58">
                  <c:v>0.10203800223830746</c:v>
                </c:pt>
                <c:pt idx="59">
                  <c:v>0.10065993274403115</c:v>
                </c:pt>
                <c:pt idx="60">
                  <c:v>9.9304795375806817E-2</c:v>
                </c:pt>
                <c:pt idx="61">
                  <c:v>9.797202146015381E-2</c:v>
                </c:pt>
                <c:pt idx="62">
                  <c:v>9.6661060972090568E-2</c:v>
                </c:pt>
                <c:pt idx="63">
                  <c:v>9.5371385589264224E-2</c:v>
                </c:pt>
                <c:pt idx="64">
                  <c:v>9.4102477348932512E-2</c:v>
                </c:pt>
                <c:pt idx="65">
                  <c:v>9.2853840495330783E-2</c:v>
                </c:pt>
                <c:pt idx="66">
                  <c:v>9.1624994927553202E-2</c:v>
                </c:pt>
                <c:pt idx="67">
                  <c:v>9.0415470221986247E-2</c:v>
                </c:pt>
                <c:pt idx="68">
                  <c:v>8.9224817787255786E-2</c:v>
                </c:pt>
                <c:pt idx="69">
                  <c:v>8.8052595878758896E-2</c:v>
                </c:pt>
                <c:pt idx="70">
                  <c:v>8.6898381551011011E-2</c:v>
                </c:pt>
                <c:pt idx="71">
                  <c:v>8.5761764701130519E-2</c:v>
                </c:pt>
                <c:pt idx="72">
                  <c:v>8.4642342618719016E-2</c:v>
                </c:pt>
                <c:pt idx="73">
                  <c:v>8.353972967937362E-2</c:v>
                </c:pt>
                <c:pt idx="74">
                  <c:v>8.2453551704036718E-2</c:v>
                </c:pt>
                <c:pt idx="75">
                  <c:v>8.1383440789127404E-2</c:v>
                </c:pt>
                <c:pt idx="76">
                  <c:v>8.0329044608729361E-2</c:v>
                </c:pt>
                <c:pt idx="77">
                  <c:v>7.9290021063256166E-2</c:v>
                </c:pt>
                <c:pt idx="78">
                  <c:v>7.8266034881468688E-2</c:v>
                </c:pt>
                <c:pt idx="79">
                  <c:v>7.725675897794293E-2</c:v>
                </c:pt>
                <c:pt idx="80">
                  <c:v>7.6261884515766071E-2</c:v>
                </c:pt>
                <c:pt idx="81">
                  <c:v>7.5281102533249156E-2</c:v>
                </c:pt>
                <c:pt idx="82">
                  <c:v>7.4314112842911464E-2</c:v>
                </c:pt>
                <c:pt idx="83">
                  <c:v>7.3360632187485467E-2</c:v>
                </c:pt>
                <c:pt idx="84">
                  <c:v>7.2420376662114386E-2</c:v>
                </c:pt>
                <c:pt idx="85">
                  <c:v>7.149307026118272E-2</c:v>
                </c:pt>
                <c:pt idx="86">
                  <c:v>7.0578452726899443E-2</c:v>
                </c:pt>
                <c:pt idx="87">
                  <c:v>6.9676262715009207E-2</c:v>
                </c:pt>
                <c:pt idx="88">
                  <c:v>6.8786246008535779E-2</c:v>
                </c:pt>
                <c:pt idx="89">
                  <c:v>6.7908163074546446E-2</c:v>
                </c:pt>
                <c:pt idx="90">
                  <c:v>6.7041772925987661E-2</c:v>
                </c:pt>
                <c:pt idx="91">
                  <c:v>6.6186843551271524E-2</c:v>
                </c:pt>
                <c:pt idx="92">
                  <c:v>6.534314653877854E-2</c:v>
                </c:pt>
                <c:pt idx="93">
                  <c:v>6.4510466901882904E-2</c:v>
                </c:pt>
                <c:pt idx="94">
                  <c:v>6.368858780220632E-2</c:v>
                </c:pt>
                <c:pt idx="95">
                  <c:v>6.2877298053821903E-2</c:v>
                </c:pt>
                <c:pt idx="96">
                  <c:v>6.2076399055044661E-2</c:v>
                </c:pt>
                <c:pt idx="97">
                  <c:v>6.1285690112305495E-2</c:v>
                </c:pt>
                <c:pt idx="98">
                  <c:v>6.0504975666686979E-2</c:v>
                </c:pt>
                <c:pt idx="99">
                  <c:v>5.9734071979905941E-2</c:v>
                </c:pt>
                <c:pt idx="100">
                  <c:v>5.8972793023363217E-2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E8-4E73-BE4A-047204115D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772128"/>
        <c:axId val="567772456"/>
      </c:scatterChart>
      <c:valAx>
        <c:axId val="567772128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TDC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67772456"/>
        <c:crosses val="autoZero"/>
        <c:crossBetween val="midCat"/>
      </c:valAx>
      <c:valAx>
        <c:axId val="567772456"/>
        <c:scaling>
          <c:orientation val="minMax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ROI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67772128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11566977909412568"/>
          <c:y val="0.16926044387551836"/>
          <c:w val="6.7871862833373486E-2"/>
          <c:h val="3.6437166026757048E-2"/>
        </c:manualLayout>
      </c:layout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200"/>
            </a:pPr>
            <a:r>
              <a:rPr lang="en-US"/>
              <a:t>50% Variability in TVC vs ROI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3.8368748292276884E-2"/>
          <c:y val="9.8735258927385716E-2"/>
          <c:w val="0.91510901182061444"/>
          <c:h val="0.77577703442945922"/>
        </c:manualLayout>
      </c:layout>
      <c:scatterChart>
        <c:scatterStyle val="lineMarker"/>
        <c:varyColors val="0"/>
        <c:ser>
          <c:idx val="0"/>
          <c:order val="0"/>
          <c:tx>
            <c:v>TVC</c:v>
          </c:tx>
          <c:spPr>
            <a:ln w="3175">
              <a:solidFill>
                <a:srgbClr val="0000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'S5'!$A$11:$A$111</c:f>
              <c:numCache>
                <c:formatCode>"$"#,##0.00_);\("$"#,##0.00\)</c:formatCode>
                <c:ptCount val="101"/>
                <c:pt idx="0">
                  <c:v>67523.759999999995</c:v>
                </c:pt>
                <c:pt idx="1">
                  <c:v>68874.240000000005</c:v>
                </c:pt>
                <c:pt idx="2">
                  <c:v>70224.710000000006</c:v>
                </c:pt>
                <c:pt idx="3">
                  <c:v>71575.19</c:v>
                </c:pt>
                <c:pt idx="4">
                  <c:v>72925.66</c:v>
                </c:pt>
                <c:pt idx="5">
                  <c:v>74276.14</c:v>
                </c:pt>
                <c:pt idx="6">
                  <c:v>75626.61</c:v>
                </c:pt>
                <c:pt idx="7">
                  <c:v>76977.09</c:v>
                </c:pt>
                <c:pt idx="8">
                  <c:v>78327.56</c:v>
                </c:pt>
                <c:pt idx="9">
                  <c:v>79678.039999999994</c:v>
                </c:pt>
                <c:pt idx="10">
                  <c:v>81028.509999999995</c:v>
                </c:pt>
                <c:pt idx="11">
                  <c:v>82378.990000000005</c:v>
                </c:pt>
                <c:pt idx="12">
                  <c:v>83729.47</c:v>
                </c:pt>
                <c:pt idx="13">
                  <c:v>85079.94</c:v>
                </c:pt>
                <c:pt idx="14">
                  <c:v>86430.41</c:v>
                </c:pt>
                <c:pt idx="15">
                  <c:v>87780.89</c:v>
                </c:pt>
                <c:pt idx="16">
                  <c:v>89131.37</c:v>
                </c:pt>
                <c:pt idx="17">
                  <c:v>90481.84</c:v>
                </c:pt>
                <c:pt idx="18">
                  <c:v>91832.320000000007</c:v>
                </c:pt>
                <c:pt idx="19">
                  <c:v>93182.79</c:v>
                </c:pt>
                <c:pt idx="20">
                  <c:v>94533.27</c:v>
                </c:pt>
                <c:pt idx="21">
                  <c:v>95883.74</c:v>
                </c:pt>
                <c:pt idx="22">
                  <c:v>97234.22</c:v>
                </c:pt>
                <c:pt idx="23">
                  <c:v>98584.69</c:v>
                </c:pt>
                <c:pt idx="24">
                  <c:v>99935.17</c:v>
                </c:pt>
                <c:pt idx="25">
                  <c:v>101285.64</c:v>
                </c:pt>
                <c:pt idx="26">
                  <c:v>102636.12</c:v>
                </c:pt>
                <c:pt idx="27">
                  <c:v>103986.59</c:v>
                </c:pt>
                <c:pt idx="28">
                  <c:v>105337.07</c:v>
                </c:pt>
                <c:pt idx="29">
                  <c:v>106687.54</c:v>
                </c:pt>
                <c:pt idx="30">
                  <c:v>108038.02</c:v>
                </c:pt>
                <c:pt idx="31">
                  <c:v>109388.49</c:v>
                </c:pt>
                <c:pt idx="32">
                  <c:v>110738.97</c:v>
                </c:pt>
                <c:pt idx="33">
                  <c:v>112089.44</c:v>
                </c:pt>
                <c:pt idx="34">
                  <c:v>113439.92</c:v>
                </c:pt>
                <c:pt idx="35">
                  <c:v>114790.39</c:v>
                </c:pt>
                <c:pt idx="36">
                  <c:v>116140.87</c:v>
                </c:pt>
                <c:pt idx="37">
                  <c:v>117491.34</c:v>
                </c:pt>
                <c:pt idx="38">
                  <c:v>118841.82</c:v>
                </c:pt>
                <c:pt idx="39">
                  <c:v>120192.3</c:v>
                </c:pt>
                <c:pt idx="40">
                  <c:v>121542.77</c:v>
                </c:pt>
                <c:pt idx="41">
                  <c:v>122893.25</c:v>
                </c:pt>
                <c:pt idx="42">
                  <c:v>124243.72</c:v>
                </c:pt>
                <c:pt idx="43">
                  <c:v>125594.2</c:v>
                </c:pt>
                <c:pt idx="44">
                  <c:v>126944.67</c:v>
                </c:pt>
                <c:pt idx="45">
                  <c:v>128295.15</c:v>
                </c:pt>
                <c:pt idx="46">
                  <c:v>129645.62</c:v>
                </c:pt>
                <c:pt idx="47">
                  <c:v>130996.1</c:v>
                </c:pt>
                <c:pt idx="48">
                  <c:v>132346.57</c:v>
                </c:pt>
                <c:pt idx="49">
                  <c:v>133697.04999999999</c:v>
                </c:pt>
                <c:pt idx="50">
                  <c:v>135047.51999999999</c:v>
                </c:pt>
                <c:pt idx="51">
                  <c:v>136398</c:v>
                </c:pt>
                <c:pt idx="52">
                  <c:v>137748.47</c:v>
                </c:pt>
                <c:pt idx="53">
                  <c:v>139098.95000000001</c:v>
                </c:pt>
                <c:pt idx="54">
                  <c:v>140449.42000000001</c:v>
                </c:pt>
                <c:pt idx="55">
                  <c:v>141799.9</c:v>
                </c:pt>
                <c:pt idx="56">
                  <c:v>143150.37</c:v>
                </c:pt>
                <c:pt idx="57">
                  <c:v>144500.85</c:v>
                </c:pt>
                <c:pt idx="58">
                  <c:v>145851.32</c:v>
                </c:pt>
                <c:pt idx="59">
                  <c:v>147201.79999999999</c:v>
                </c:pt>
                <c:pt idx="60">
                  <c:v>148552.26999999999</c:v>
                </c:pt>
                <c:pt idx="61">
                  <c:v>149902.75</c:v>
                </c:pt>
                <c:pt idx="62">
                  <c:v>151253.23000000001</c:v>
                </c:pt>
                <c:pt idx="63">
                  <c:v>152603.70000000001</c:v>
                </c:pt>
                <c:pt idx="64">
                  <c:v>153954.18</c:v>
                </c:pt>
                <c:pt idx="65">
                  <c:v>155304.65</c:v>
                </c:pt>
                <c:pt idx="66">
                  <c:v>156655.13</c:v>
                </c:pt>
                <c:pt idx="67">
                  <c:v>158005.6</c:v>
                </c:pt>
                <c:pt idx="68">
                  <c:v>159356.07999999999</c:v>
                </c:pt>
                <c:pt idx="69">
                  <c:v>160706.54999999999</c:v>
                </c:pt>
                <c:pt idx="70">
                  <c:v>162057.03</c:v>
                </c:pt>
                <c:pt idx="71">
                  <c:v>163407.5</c:v>
                </c:pt>
                <c:pt idx="72">
                  <c:v>164757.98000000001</c:v>
                </c:pt>
                <c:pt idx="73">
                  <c:v>166108.45000000001</c:v>
                </c:pt>
                <c:pt idx="74">
                  <c:v>167458.93</c:v>
                </c:pt>
                <c:pt idx="75">
                  <c:v>168809.4</c:v>
                </c:pt>
                <c:pt idx="76">
                  <c:v>170159.88</c:v>
                </c:pt>
                <c:pt idx="77">
                  <c:v>171510.35</c:v>
                </c:pt>
                <c:pt idx="78">
                  <c:v>172860.83</c:v>
                </c:pt>
                <c:pt idx="79">
                  <c:v>174211.31</c:v>
                </c:pt>
                <c:pt idx="80">
                  <c:v>175561.78</c:v>
                </c:pt>
                <c:pt idx="81">
                  <c:v>176912.25</c:v>
                </c:pt>
                <c:pt idx="82">
                  <c:v>178262.73</c:v>
                </c:pt>
                <c:pt idx="83">
                  <c:v>179613.21</c:v>
                </c:pt>
                <c:pt idx="84">
                  <c:v>180963.68</c:v>
                </c:pt>
                <c:pt idx="85">
                  <c:v>182314.16</c:v>
                </c:pt>
                <c:pt idx="86">
                  <c:v>183664.63</c:v>
                </c:pt>
                <c:pt idx="87">
                  <c:v>185015.1</c:v>
                </c:pt>
                <c:pt idx="88">
                  <c:v>186365.58</c:v>
                </c:pt>
                <c:pt idx="89">
                  <c:v>187716.06</c:v>
                </c:pt>
                <c:pt idx="90">
                  <c:v>189066.53</c:v>
                </c:pt>
                <c:pt idx="91">
                  <c:v>190417</c:v>
                </c:pt>
                <c:pt idx="92">
                  <c:v>191767.48</c:v>
                </c:pt>
                <c:pt idx="93">
                  <c:v>193117.96</c:v>
                </c:pt>
                <c:pt idx="94">
                  <c:v>194468.43</c:v>
                </c:pt>
                <c:pt idx="95">
                  <c:v>195818.91</c:v>
                </c:pt>
                <c:pt idx="96">
                  <c:v>197169.38</c:v>
                </c:pt>
                <c:pt idx="97">
                  <c:v>198519.86</c:v>
                </c:pt>
                <c:pt idx="98">
                  <c:v>199870.33</c:v>
                </c:pt>
                <c:pt idx="99">
                  <c:v>201220.81</c:v>
                </c:pt>
                <c:pt idx="100">
                  <c:v>202571.28</c:v>
                </c:pt>
              </c:numCache>
            </c:numRef>
          </c:xVal>
          <c:yVal>
            <c:numRef>
              <c:f>'S5'!$B$11:$B$111</c:f>
              <c:numCache>
                <c:formatCode>General</c:formatCode>
                <c:ptCount val="101"/>
                <c:pt idx="0">
                  <c:v>0.39475968565225644</c:v>
                </c:pt>
                <c:pt idx="1">
                  <c:v>0.38914330837635974</c:v>
                </c:pt>
                <c:pt idx="2">
                  <c:v>0.38352697268847086</c:v>
                </c:pt>
                <c:pt idx="3">
                  <c:v>0.37791059541257416</c:v>
                </c:pt>
                <c:pt idx="4">
                  <c:v>0.37229425972468522</c:v>
                </c:pt>
                <c:pt idx="5">
                  <c:v>0.36667788244878857</c:v>
                </c:pt>
                <c:pt idx="6">
                  <c:v>0.36106154676089963</c:v>
                </c:pt>
                <c:pt idx="7">
                  <c:v>0.35544516948500299</c:v>
                </c:pt>
                <c:pt idx="8">
                  <c:v>0.3498288337971141</c:v>
                </c:pt>
                <c:pt idx="9">
                  <c:v>0.34421245652121746</c:v>
                </c:pt>
                <c:pt idx="10">
                  <c:v>0.33859612083332846</c:v>
                </c:pt>
                <c:pt idx="11">
                  <c:v>0.33297974355743176</c:v>
                </c:pt>
                <c:pt idx="12">
                  <c:v>0.32736336628153517</c:v>
                </c:pt>
                <c:pt idx="13">
                  <c:v>0.32174703059364623</c:v>
                </c:pt>
                <c:pt idx="14">
                  <c:v>0.31613069490575729</c:v>
                </c:pt>
                <c:pt idx="15">
                  <c:v>0.31051431762986065</c:v>
                </c:pt>
                <c:pt idx="16">
                  <c:v>0.30489794035396395</c:v>
                </c:pt>
                <c:pt idx="17">
                  <c:v>0.29928160466607506</c:v>
                </c:pt>
                <c:pt idx="18">
                  <c:v>0.29366522739017831</c:v>
                </c:pt>
                <c:pt idx="19">
                  <c:v>0.28804889170228942</c:v>
                </c:pt>
                <c:pt idx="20">
                  <c:v>0.28243251442639272</c:v>
                </c:pt>
                <c:pt idx="21">
                  <c:v>0.27681617873850378</c:v>
                </c:pt>
                <c:pt idx="22">
                  <c:v>0.27119980146260714</c:v>
                </c:pt>
                <c:pt idx="23">
                  <c:v>0.2655834657747182</c:v>
                </c:pt>
                <c:pt idx="24">
                  <c:v>0.25996708849882161</c:v>
                </c:pt>
                <c:pt idx="25">
                  <c:v>0.25435075281093267</c:v>
                </c:pt>
                <c:pt idx="26">
                  <c:v>0.24873437553503602</c:v>
                </c:pt>
                <c:pt idx="27">
                  <c:v>0.24311803984714705</c:v>
                </c:pt>
                <c:pt idx="28">
                  <c:v>0.23750166257125035</c:v>
                </c:pt>
                <c:pt idx="29">
                  <c:v>0.23188532688336147</c:v>
                </c:pt>
                <c:pt idx="30">
                  <c:v>0.2262689496074648</c:v>
                </c:pt>
                <c:pt idx="31">
                  <c:v>0.22065261391957583</c:v>
                </c:pt>
                <c:pt idx="32">
                  <c:v>0.21503623664367921</c:v>
                </c:pt>
                <c:pt idx="33">
                  <c:v>0.2094199009557903</c:v>
                </c:pt>
                <c:pt idx="34">
                  <c:v>0.20380352367989366</c:v>
                </c:pt>
                <c:pt idx="35">
                  <c:v>0.19818718799200469</c:v>
                </c:pt>
                <c:pt idx="36">
                  <c:v>0.19257081071610807</c:v>
                </c:pt>
                <c:pt idx="37">
                  <c:v>0.1869544750282191</c:v>
                </c:pt>
                <c:pt idx="38">
                  <c:v>0.18133809775232243</c:v>
                </c:pt>
                <c:pt idx="39">
                  <c:v>0.17572172047642565</c:v>
                </c:pt>
                <c:pt idx="40">
                  <c:v>0.17010538478853676</c:v>
                </c:pt>
                <c:pt idx="41">
                  <c:v>0.16448900751264006</c:v>
                </c:pt>
                <c:pt idx="42">
                  <c:v>0.1588726718247512</c:v>
                </c:pt>
                <c:pt idx="43">
                  <c:v>0.1532562945488545</c:v>
                </c:pt>
                <c:pt idx="44">
                  <c:v>0.14763995886096562</c:v>
                </c:pt>
                <c:pt idx="45">
                  <c:v>0.14202358158506895</c:v>
                </c:pt>
                <c:pt idx="46">
                  <c:v>0.13640724589718001</c:v>
                </c:pt>
                <c:pt idx="47">
                  <c:v>0.13079086862128328</c:v>
                </c:pt>
                <c:pt idx="48">
                  <c:v>0.12517453293339437</c:v>
                </c:pt>
                <c:pt idx="49">
                  <c:v>0.11955815565749778</c:v>
                </c:pt>
                <c:pt idx="50">
                  <c:v>0.11394181996960884</c:v>
                </c:pt>
                <c:pt idx="51">
                  <c:v>0.10832544269371214</c:v>
                </c:pt>
                <c:pt idx="52">
                  <c:v>0.1027091070058232</c:v>
                </c:pt>
                <c:pt idx="53">
                  <c:v>9.7092729729926483E-2</c:v>
                </c:pt>
                <c:pt idx="54">
                  <c:v>9.1476394042037501E-2</c:v>
                </c:pt>
                <c:pt idx="55">
                  <c:v>8.5860016766140981E-2</c:v>
                </c:pt>
                <c:pt idx="56">
                  <c:v>8.0243681078251985E-2</c:v>
                </c:pt>
                <c:pt idx="57">
                  <c:v>7.4627303802355341E-2</c:v>
                </c:pt>
                <c:pt idx="58">
                  <c:v>6.9010968114466345E-2</c:v>
                </c:pt>
                <c:pt idx="59">
                  <c:v>6.3394590838569839E-2</c:v>
                </c:pt>
                <c:pt idx="60">
                  <c:v>5.7778255150680836E-2</c:v>
                </c:pt>
                <c:pt idx="61">
                  <c:v>5.2161877874784192E-2</c:v>
                </c:pt>
                <c:pt idx="62">
                  <c:v>4.6545500598887429E-2</c:v>
                </c:pt>
                <c:pt idx="63">
                  <c:v>4.0929164910998551E-2</c:v>
                </c:pt>
                <c:pt idx="64">
                  <c:v>3.5312787635101914E-2</c:v>
                </c:pt>
                <c:pt idx="65">
                  <c:v>2.9696451947213043E-2</c:v>
                </c:pt>
                <c:pt idx="66">
                  <c:v>2.4080074671316277E-2</c:v>
                </c:pt>
                <c:pt idx="67">
                  <c:v>1.8463738983427402E-2</c:v>
                </c:pt>
                <c:pt idx="68">
                  <c:v>1.2847361707530765E-2</c:v>
                </c:pt>
                <c:pt idx="69">
                  <c:v>7.2310260196417646E-3</c:v>
                </c:pt>
                <c:pt idx="70">
                  <c:v>1.6146487437451258E-3</c:v>
                </c:pt>
                <c:pt idx="71">
                  <c:v>-4.0016869441438759E-3</c:v>
                </c:pt>
                <c:pt idx="72">
                  <c:v>-9.6180642200405144E-3</c:v>
                </c:pt>
                <c:pt idx="73">
                  <c:v>-1.5234399907929517E-2</c:v>
                </c:pt>
                <c:pt idx="74">
                  <c:v>-2.0850777183826025E-2</c:v>
                </c:pt>
                <c:pt idx="75">
                  <c:v>-2.6467112871715024E-2</c:v>
                </c:pt>
                <c:pt idx="76">
                  <c:v>-3.2083490147611665E-2</c:v>
                </c:pt>
                <c:pt idx="77">
                  <c:v>-3.7699825835500668E-2</c:v>
                </c:pt>
                <c:pt idx="78">
                  <c:v>-4.3316203111397174E-2</c:v>
                </c:pt>
                <c:pt idx="79">
                  <c:v>-4.8932580387293943E-2</c:v>
                </c:pt>
                <c:pt idx="80">
                  <c:v>-5.4548916075182807E-2</c:v>
                </c:pt>
                <c:pt idx="81">
                  <c:v>-6.0165251763071817E-2</c:v>
                </c:pt>
                <c:pt idx="82">
                  <c:v>-6.5781629038968462E-2</c:v>
                </c:pt>
                <c:pt idx="83">
                  <c:v>-7.1398006314865092E-2</c:v>
                </c:pt>
                <c:pt idx="84">
                  <c:v>-7.7014342002753977E-2</c:v>
                </c:pt>
                <c:pt idx="85">
                  <c:v>-8.2630719278650733E-2</c:v>
                </c:pt>
                <c:pt idx="86">
                  <c:v>-8.8247054966539604E-2</c:v>
                </c:pt>
                <c:pt idx="87">
                  <c:v>-9.3863390654428613E-2</c:v>
                </c:pt>
                <c:pt idx="88">
                  <c:v>-9.9479767930325244E-2</c:v>
                </c:pt>
                <c:pt idx="89">
                  <c:v>-0.10509614520622189</c:v>
                </c:pt>
                <c:pt idx="90">
                  <c:v>-0.1107124808941109</c:v>
                </c:pt>
                <c:pt idx="91">
                  <c:v>-0.11632881658199976</c:v>
                </c:pt>
                <c:pt idx="92">
                  <c:v>-0.12194519385789652</c:v>
                </c:pt>
                <c:pt idx="93">
                  <c:v>-0.12756157113379302</c:v>
                </c:pt>
                <c:pt idx="94">
                  <c:v>-0.13317790682168204</c:v>
                </c:pt>
                <c:pt idx="95">
                  <c:v>-0.13879428409757869</c:v>
                </c:pt>
                <c:pt idx="96">
                  <c:v>-0.14441061978546768</c:v>
                </c:pt>
                <c:pt idx="97">
                  <c:v>-0.15002699706136419</c:v>
                </c:pt>
                <c:pt idx="98">
                  <c:v>-0.15564333274925318</c:v>
                </c:pt>
                <c:pt idx="99">
                  <c:v>-0.16125971002514983</c:v>
                </c:pt>
                <c:pt idx="100">
                  <c:v>-0.16687604571303882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6-46D5-9E26-21DBC6394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4668968"/>
        <c:axId val="584670936"/>
      </c:scatterChart>
      <c:valAx>
        <c:axId val="584668968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TVC</a:t>
                </a:r>
              </a:p>
            </c:rich>
          </c:tx>
          <c:overlay val="0"/>
        </c:title>
        <c:numFmt formatCode="&quot;$&quot;#,##0.00_);\(&quot;$&quot;#,##0.00\)" sourceLinked="1"/>
        <c:majorTickMark val="out"/>
        <c:minorTickMark val="none"/>
        <c:tickLblPos val="nextTo"/>
        <c:crossAx val="584670936"/>
        <c:crosses val="autoZero"/>
        <c:crossBetween val="midCat"/>
      </c:valAx>
      <c:valAx>
        <c:axId val="584670936"/>
        <c:scaling>
          <c:orientation val="minMax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ROI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4668968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11566977909412568"/>
          <c:y val="0.16926044387551836"/>
          <c:w val="6.7176437629051983E-2"/>
          <c:h val="3.6437166026757048E-2"/>
        </c:manualLayout>
      </c:layout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 codeName="Chart2"/>
  <sheetViews>
    <sheetView zoomScale="90" workbookViewId="0"/>
  </sheetViews>
  <pageMargins left="0.75" right="0.75" top="1" bottom="1" header="0.5" footer="0.5"/>
  <pageSetup orientation="landscape" horizontalDpi="200" verticalDpi="200" r:id="rId1"/>
  <headerFooter alignWithMargins="0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/>
  <sheetViews>
    <sheetView zoomScale="111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36FA285-B780-4E81-B6F6-E288594B6292}">
  <sheetPr/>
  <sheetViews>
    <sheetView tabSelected="1" zoomScale="111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06539EA-7BF5-457A-9B42-EB10EC2E6F15}">
  <sheetPr/>
  <sheetViews>
    <sheetView zoomScale="111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56BE29B-4361-4637-908D-B8D496DB9485}">
  <sheetPr/>
  <sheetViews>
    <sheetView workbookViewId="0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C7785D7-F048-43FF-8EDC-0C7CE2EAF91B}">
  <sheetPr/>
  <sheetViews>
    <sheetView zoomScale="111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E864332-267E-42F3-B22B-C94507E3063C}">
  <sheetPr/>
  <sheetViews>
    <sheetView zoomScale="111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48</xdr:row>
      <xdr:rowOff>47625</xdr:rowOff>
    </xdr:from>
    <xdr:to>
      <xdr:col>9</xdr:col>
      <xdr:colOff>9525</xdr:colOff>
      <xdr:row>48</xdr:row>
      <xdr:rowOff>47625</xdr:rowOff>
    </xdr:to>
    <xdr:sp macro="" textlink="">
      <xdr:nvSpPr>
        <xdr:cNvPr id="1039" name="Line 1">
          <a:extLst>
            <a:ext uri="{FF2B5EF4-FFF2-40B4-BE49-F238E27FC236}">
              <a16:creationId xmlns:a16="http://schemas.microsoft.com/office/drawing/2014/main" id="{00000000-0008-0000-0100-00000F040000}"/>
            </a:ext>
          </a:extLst>
        </xdr:cNvPr>
        <xdr:cNvSpPr>
          <a:spLocks noChangeShapeType="1"/>
        </xdr:cNvSpPr>
      </xdr:nvSpPr>
      <xdr:spPr bwMode="auto">
        <a:xfrm>
          <a:off x="5181600" y="7458075"/>
          <a:ext cx="800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37</xdr:row>
      <xdr:rowOff>38100</xdr:rowOff>
    </xdr:from>
    <xdr:to>
      <xdr:col>9</xdr:col>
      <xdr:colOff>9525</xdr:colOff>
      <xdr:row>37</xdr:row>
      <xdr:rowOff>38100</xdr:rowOff>
    </xdr:to>
    <xdr:sp macro="" textlink="">
      <xdr:nvSpPr>
        <xdr:cNvPr id="2063" name="Line 1">
          <a:extLst>
            <a:ext uri="{FF2B5EF4-FFF2-40B4-BE49-F238E27FC236}">
              <a16:creationId xmlns:a16="http://schemas.microsoft.com/office/drawing/2014/main" id="{00000000-0008-0000-0200-00000F080000}"/>
            </a:ext>
          </a:extLst>
        </xdr:cNvPr>
        <xdr:cNvSpPr>
          <a:spLocks noChangeShapeType="1"/>
        </xdr:cNvSpPr>
      </xdr:nvSpPr>
      <xdr:spPr bwMode="auto">
        <a:xfrm>
          <a:off x="4991100" y="6219825"/>
          <a:ext cx="609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291465</xdr:colOff>
      <xdr:row>3</xdr:row>
      <xdr:rowOff>47625</xdr:rowOff>
    </xdr:from>
    <xdr:to>
      <xdr:col>9</xdr:col>
      <xdr:colOff>813422</xdr:colOff>
      <xdr:row>9</xdr:row>
      <xdr:rowOff>0</xdr:rowOff>
    </xdr:to>
    <xdr:sp macro="" textlink="">
      <xdr:nvSpPr>
        <xdr:cNvPr id="4102" name="Text Box 6">
          <a:extLst>
            <a:ext uri="{FF2B5EF4-FFF2-40B4-BE49-F238E27FC236}">
              <a16:creationId xmlns:a16="http://schemas.microsoft.com/office/drawing/2014/main" id="{00000000-0008-0000-0300-000006100000}"/>
            </a:ext>
          </a:extLst>
        </xdr:cNvPr>
        <xdr:cNvSpPr txBox="1">
          <a:spLocks noChangeArrowheads="1"/>
        </xdr:cNvSpPr>
      </xdr:nvSpPr>
      <xdr:spPr bwMode="auto">
        <a:xfrm>
          <a:off x="2076450" y="666750"/>
          <a:ext cx="6705600" cy="9429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prstDash val="sysDot"/>
          <a:miter lim="800000"/>
          <a:headEnd/>
          <a:tailEnd/>
        </a:ln>
        <a:effectLst>
          <a:outerShdw dist="107763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lnSpc>
              <a:spcPts val="1100"/>
            </a:lnSpc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Sensitivity Analysis can be performed by pressing the Sensitivity Analysis button. A dialog box allows the user to select various options.  For the Sensitivity Analysis Macro, X variables should be cells set by the user (yellow or blue). Y variables should be chosen to be calculated values or values solved by the worksheet (aqua or blue). Selling Price can be an X variable or a Y variable.</a:t>
          </a:r>
        </a:p>
        <a:p>
          <a:pPr algn="l" rtl="0">
            <a:lnSpc>
              <a:spcPts val="1000"/>
            </a:lnSpc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The Set Selling Price macro will break down if an unfeasible target value is entered.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5</xdr:row>
          <xdr:rowOff>76200</xdr:rowOff>
        </xdr:from>
        <xdr:to>
          <xdr:col>12</xdr:col>
          <xdr:colOff>304800</xdr:colOff>
          <xdr:row>7</xdr:row>
          <xdr:rowOff>38100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Sensitivity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7</xdr:row>
          <xdr:rowOff>152400</xdr:rowOff>
        </xdr:from>
        <xdr:to>
          <xdr:col>12</xdr:col>
          <xdr:colOff>304800</xdr:colOff>
          <xdr:row>9</xdr:row>
          <xdr:rowOff>152400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Set Selling Price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565444" cy="581377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84054" cy="62927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84054" cy="62927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684054" cy="62927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8674100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8684054" cy="62927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8684054" cy="62927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J149"/>
  <sheetViews>
    <sheetView showZeros="0" topLeftCell="A92" zoomScale="109" zoomScaleNormal="70" workbookViewId="0">
      <selection activeCell="F104" sqref="F104"/>
    </sheetView>
  </sheetViews>
  <sheetFormatPr baseColWidth="10" defaultColWidth="9.6640625" defaultRowHeight="13"/>
  <cols>
    <col min="1" max="1" width="14.5" customWidth="1"/>
    <col min="2" max="2" width="22.5" customWidth="1"/>
    <col min="3" max="3" width="12.5" customWidth="1"/>
    <col min="4" max="4" width="15.33203125" customWidth="1"/>
    <col min="5" max="5" width="14" customWidth="1"/>
    <col min="6" max="7" width="5.6640625" customWidth="1"/>
    <col min="8" max="8" width="10.33203125" style="36" customWidth="1"/>
    <col min="9" max="9" width="3.83203125" style="36" customWidth="1"/>
    <col min="10" max="10" width="11.33203125" style="36" customWidth="1"/>
    <col min="11" max="11" width="9.5" customWidth="1"/>
    <col min="13" max="13" width="7.33203125" customWidth="1"/>
    <col min="14" max="14" width="16.83203125" customWidth="1"/>
    <col min="15" max="15" width="15.1640625" bestFit="1" customWidth="1"/>
    <col min="18" max="18" width="12" bestFit="1" customWidth="1"/>
    <col min="19" max="19" width="11.1640625" bestFit="1" customWidth="1"/>
    <col min="21" max="21" width="10.83203125" customWidth="1"/>
    <col min="22" max="22" width="18" bestFit="1" customWidth="1"/>
    <col min="23" max="23" width="14.6640625" bestFit="1" customWidth="1"/>
    <col min="29" max="30" width="13.6640625" bestFit="1" customWidth="1"/>
    <col min="32" max="32" width="12.1640625" bestFit="1" customWidth="1"/>
    <col min="33" max="33" width="11.1640625" bestFit="1" customWidth="1"/>
    <col min="35" max="35" width="12.1640625" bestFit="1" customWidth="1"/>
  </cols>
  <sheetData>
    <row r="1" spans="1:18" ht="20">
      <c r="A1" s="227" t="s">
        <v>237</v>
      </c>
      <c r="B1" s="227"/>
      <c r="C1" s="227"/>
      <c r="D1" s="227"/>
      <c r="E1" s="227"/>
      <c r="F1" s="227"/>
      <c r="G1" s="227"/>
      <c r="H1" s="227"/>
      <c r="I1" s="227"/>
      <c r="J1" s="227"/>
    </row>
    <row r="2" spans="1:18" ht="18">
      <c r="A2" s="26"/>
      <c r="B2" s="27"/>
      <c r="C2" s="28"/>
      <c r="D2" s="26"/>
      <c r="E2" s="26"/>
      <c r="F2" s="26"/>
      <c r="G2" s="26"/>
      <c r="H2" s="45"/>
      <c r="I2" s="45"/>
      <c r="J2" s="45"/>
    </row>
    <row r="3" spans="1:18" ht="12.75" customHeight="1">
      <c r="B3" s="29"/>
      <c r="C3" t="s">
        <v>0</v>
      </c>
      <c r="E3" s="30"/>
      <c r="F3" t="s">
        <v>1</v>
      </c>
      <c r="M3" s="102"/>
      <c r="N3" s="102"/>
      <c r="O3" s="102"/>
      <c r="P3" s="102"/>
      <c r="Q3" s="102"/>
      <c r="R3" s="102"/>
    </row>
    <row r="4" spans="1:18" ht="12.75" customHeight="1">
      <c r="M4" s="102"/>
      <c r="N4" s="102"/>
      <c r="O4" s="102"/>
      <c r="P4" s="102"/>
      <c r="Q4" s="102"/>
      <c r="R4" s="102"/>
    </row>
    <row r="5" spans="1:18" ht="12.75" customHeight="1">
      <c r="A5" s="26" t="s">
        <v>2</v>
      </c>
      <c r="B5" s="224" t="s">
        <v>242</v>
      </c>
      <c r="C5" s="225"/>
      <c r="D5" s="225"/>
      <c r="E5" s="226"/>
      <c r="F5" s="26"/>
      <c r="G5" s="26" t="s">
        <v>3</v>
      </c>
      <c r="H5" s="133">
        <f ca="1">TODAY()</f>
        <v>44541</v>
      </c>
      <c r="I5" s="45"/>
      <c r="J5" s="45"/>
      <c r="M5" s="102"/>
      <c r="N5" s="102"/>
      <c r="O5" s="102"/>
      <c r="P5" s="102"/>
      <c r="Q5" s="102"/>
      <c r="R5" s="102"/>
    </row>
    <row r="6" spans="1:18" ht="12.75" customHeight="1">
      <c r="A6" s="26" t="s">
        <v>129</v>
      </c>
      <c r="B6" s="224" t="s">
        <v>243</v>
      </c>
      <c r="C6" s="225"/>
      <c r="D6" s="225"/>
      <c r="E6" s="226"/>
      <c r="F6" s="26"/>
      <c r="G6" s="26"/>
      <c r="H6" s="26"/>
      <c r="I6" s="45"/>
      <c r="J6" s="45"/>
      <c r="M6" s="102"/>
      <c r="N6" s="102"/>
      <c r="O6" s="102"/>
      <c r="P6" s="102"/>
      <c r="Q6" s="102"/>
      <c r="R6" s="102"/>
    </row>
    <row r="7" spans="1:18" ht="12.75" customHeight="1">
      <c r="A7" s="26" t="s">
        <v>125</v>
      </c>
      <c r="B7" s="26"/>
      <c r="C7" s="132" t="s">
        <v>239</v>
      </c>
      <c r="D7" s="26"/>
      <c r="E7" s="26"/>
      <c r="F7" s="26"/>
      <c r="G7" s="26"/>
      <c r="I7" s="45"/>
      <c r="J7" s="45"/>
      <c r="M7" s="102"/>
      <c r="N7" s="102"/>
      <c r="O7" s="102"/>
      <c r="P7" s="102"/>
      <c r="Q7" s="102"/>
      <c r="R7" s="102"/>
    </row>
    <row r="8" spans="1:18" ht="12.75" customHeight="1">
      <c r="A8" s="26" t="s">
        <v>126</v>
      </c>
      <c r="B8" s="26"/>
      <c r="C8" s="132">
        <v>8000</v>
      </c>
      <c r="D8" s="26" t="s">
        <v>245</v>
      </c>
      <c r="E8" s="26" t="s">
        <v>244</v>
      </c>
      <c r="F8" s="26"/>
      <c r="G8" s="26"/>
      <c r="I8" s="45"/>
      <c r="J8" s="45"/>
      <c r="M8" s="102"/>
      <c r="N8" s="102"/>
      <c r="O8" s="102"/>
      <c r="P8" s="102"/>
      <c r="Q8" s="102"/>
      <c r="R8" s="102"/>
    </row>
    <row r="9" spans="1:18" ht="12.75" customHeight="1">
      <c r="A9" s="26" t="s">
        <v>4</v>
      </c>
      <c r="B9" s="132">
        <f>IF(ISNUMBER(OpHours),HourCap*OpHours,"")</f>
        <v>141095872</v>
      </c>
      <c r="C9" s="26" t="str">
        <f>C7&amp;" per Year"</f>
        <v>kg per Year</v>
      </c>
      <c r="D9" s="26">
        <v>8000</v>
      </c>
      <c r="E9" s="192">
        <v>2.2046230000000002</v>
      </c>
      <c r="F9" s="26"/>
      <c r="G9" s="26" t="s">
        <v>5</v>
      </c>
      <c r="H9" s="220" t="s">
        <v>130</v>
      </c>
      <c r="I9" s="221"/>
      <c r="J9" s="45"/>
      <c r="M9" s="102"/>
      <c r="N9" s="102"/>
      <c r="O9" s="102"/>
      <c r="P9" s="102"/>
      <c r="Q9" s="102"/>
      <c r="R9" s="102"/>
    </row>
    <row r="10" spans="1:18" ht="12.75" customHeight="1">
      <c r="A10" s="26" t="s">
        <v>4</v>
      </c>
      <c r="B10" s="180">
        <f>D9*2.204623</f>
        <v>17636.984</v>
      </c>
      <c r="C10" s="26" t="str">
        <f>C7&amp;" per Hour"</f>
        <v>kg per Hour</v>
      </c>
      <c r="D10" s="26"/>
      <c r="E10" s="26"/>
      <c r="F10" s="26"/>
      <c r="J10" s="45"/>
      <c r="M10" s="102"/>
      <c r="N10" s="102"/>
      <c r="O10" s="102"/>
      <c r="P10" s="102"/>
      <c r="Q10" s="102"/>
      <c r="R10" s="102"/>
    </row>
    <row r="11" spans="1:18" ht="12.75" customHeight="1">
      <c r="A11" s="26"/>
      <c r="B11" s="26"/>
      <c r="C11" s="26"/>
      <c r="D11" s="26"/>
      <c r="E11" s="26"/>
      <c r="F11" s="26"/>
      <c r="G11" s="26"/>
      <c r="H11" s="45"/>
      <c r="I11" s="45"/>
      <c r="J11" s="45"/>
      <c r="M11" s="102"/>
      <c r="N11" s="102"/>
      <c r="O11" s="102"/>
      <c r="P11" s="102"/>
      <c r="Q11" s="102"/>
      <c r="R11" s="102"/>
    </row>
    <row r="12" spans="1:18" ht="12.75" customHeight="1">
      <c r="A12" s="96"/>
      <c r="B12" s="97"/>
      <c r="D12" s="96"/>
      <c r="E12" s="26"/>
      <c r="F12" s="26"/>
      <c r="G12" s="26"/>
      <c r="H12" s="46" t="s">
        <v>6</v>
      </c>
      <c r="I12" s="45"/>
      <c r="J12" s="47" t="s">
        <v>7</v>
      </c>
      <c r="M12" s="102"/>
      <c r="N12" s="96"/>
      <c r="O12" s="102"/>
      <c r="P12" s="102"/>
      <c r="Q12" s="102"/>
      <c r="R12" s="102"/>
    </row>
    <row r="13" spans="1:18" ht="12.75" customHeight="1">
      <c r="A13" s="26" t="s">
        <v>8</v>
      </c>
      <c r="B13" s="26"/>
      <c r="C13" s="26"/>
      <c r="D13" s="26"/>
      <c r="E13" s="26"/>
      <c r="F13" s="26"/>
      <c r="G13" s="26"/>
      <c r="H13" s="46" t="s">
        <v>9</v>
      </c>
      <c r="I13" s="45"/>
      <c r="J13" s="45"/>
      <c r="M13" s="102"/>
      <c r="N13" s="102"/>
      <c r="O13" s="102"/>
      <c r="P13" s="102"/>
      <c r="Q13" s="102"/>
      <c r="R13" s="102"/>
    </row>
    <row r="14" spans="1:18" ht="12.75" customHeight="1">
      <c r="A14" s="26"/>
      <c r="B14" s="26"/>
      <c r="C14" s="26"/>
      <c r="D14" s="26"/>
      <c r="E14" s="26"/>
      <c r="F14" s="26"/>
      <c r="G14" s="26"/>
      <c r="H14" s="48" t="s">
        <v>162</v>
      </c>
      <c r="I14" s="45"/>
      <c r="J14" s="48" t="s">
        <v>162</v>
      </c>
      <c r="M14" s="102"/>
      <c r="N14" s="102"/>
      <c r="O14" s="102"/>
      <c r="P14" s="102"/>
      <c r="Q14" s="102"/>
      <c r="R14" s="102"/>
    </row>
    <row r="15" spans="1:18" ht="12.75" customHeight="1">
      <c r="A15" s="26"/>
      <c r="B15" s="26"/>
      <c r="C15" s="26"/>
      <c r="D15" s="26"/>
      <c r="E15" s="26"/>
      <c r="F15" s="26"/>
      <c r="G15" s="26"/>
      <c r="H15" s="48"/>
      <c r="I15" s="45"/>
      <c r="J15" s="48"/>
      <c r="M15" s="102"/>
      <c r="N15" s="102"/>
      <c r="O15" s="102"/>
      <c r="P15" s="102"/>
      <c r="Q15" s="102"/>
      <c r="R15" s="102"/>
    </row>
    <row r="16" spans="1:18" ht="12.75" customHeight="1">
      <c r="A16" s="75" t="s">
        <v>190</v>
      </c>
      <c r="B16" s="26"/>
      <c r="C16" s="26"/>
      <c r="D16" s="26"/>
      <c r="E16" s="26"/>
      <c r="F16" s="26"/>
      <c r="G16" s="26"/>
      <c r="H16" s="48"/>
      <c r="I16" s="45"/>
      <c r="J16" s="48"/>
      <c r="M16" s="102"/>
      <c r="N16" s="102"/>
      <c r="O16" s="102"/>
      <c r="P16" s="102"/>
      <c r="Q16" s="102"/>
      <c r="R16" s="102"/>
    </row>
    <row r="17" spans="1:18" ht="12.75" customHeight="1">
      <c r="A17" s="26" t="s">
        <v>188</v>
      </c>
      <c r="B17" s="26"/>
      <c r="C17" s="26"/>
      <c r="D17" s="31"/>
      <c r="E17" s="31"/>
      <c r="F17" s="31"/>
      <c r="G17" s="26"/>
      <c r="H17" s="45"/>
      <c r="I17" s="45"/>
      <c r="J17" s="45"/>
      <c r="M17" s="102"/>
      <c r="N17" s="102"/>
      <c r="O17" s="102"/>
      <c r="P17" s="102"/>
      <c r="Q17" s="102"/>
      <c r="R17" s="102"/>
    </row>
    <row r="18" spans="1:18" ht="12.75" customHeight="1">
      <c r="A18" s="26"/>
      <c r="B18" s="134"/>
      <c r="C18" s="26"/>
      <c r="D18" s="26"/>
      <c r="E18" s="26"/>
      <c r="F18" s="26"/>
      <c r="G18" s="26"/>
      <c r="H18" s="136"/>
      <c r="I18" s="45"/>
      <c r="J18" s="45"/>
      <c r="M18" s="102"/>
      <c r="N18" s="102"/>
      <c r="O18" s="102"/>
      <c r="P18" s="102"/>
      <c r="Q18" s="102"/>
      <c r="R18" s="102"/>
    </row>
    <row r="19" spans="1:18" ht="12.75" customHeight="1">
      <c r="A19" s="26"/>
      <c r="B19" s="134"/>
      <c r="C19" s="26"/>
      <c r="D19" s="26"/>
      <c r="E19" s="26"/>
      <c r="F19" s="26"/>
      <c r="G19" s="26"/>
      <c r="H19" s="136"/>
      <c r="I19" s="45"/>
      <c r="J19" s="45"/>
      <c r="M19" s="102"/>
      <c r="N19" s="102"/>
      <c r="O19" s="102"/>
      <c r="P19" s="102"/>
      <c r="Q19" s="102"/>
      <c r="R19" s="102"/>
    </row>
    <row r="20" spans="1:18" ht="12.75" customHeight="1">
      <c r="A20" s="26"/>
      <c r="B20" s="134"/>
      <c r="C20" s="26"/>
      <c r="D20" s="26"/>
      <c r="E20" s="26"/>
      <c r="F20" s="26"/>
      <c r="G20" s="26"/>
      <c r="H20" s="136"/>
      <c r="I20" s="45"/>
      <c r="J20" s="45"/>
      <c r="M20" s="102"/>
      <c r="N20" s="102"/>
      <c r="O20" s="102"/>
      <c r="P20" s="102"/>
      <c r="Q20" s="102"/>
      <c r="R20" s="102"/>
    </row>
    <row r="21" spans="1:18" ht="12.75" customHeight="1">
      <c r="A21" s="26"/>
      <c r="B21" s="134"/>
      <c r="C21" s="26"/>
      <c r="D21" s="26"/>
      <c r="E21" s="26"/>
      <c r="F21" s="26"/>
      <c r="G21" s="26"/>
      <c r="H21" s="136"/>
      <c r="I21" s="45"/>
      <c r="J21" s="45"/>
      <c r="M21" s="102"/>
      <c r="N21" s="102"/>
      <c r="O21" s="102"/>
      <c r="P21" s="102"/>
      <c r="Q21" s="102"/>
      <c r="R21" s="102"/>
    </row>
    <row r="22" spans="1:18" ht="12.75" customHeight="1">
      <c r="A22" s="26"/>
      <c r="B22" s="135"/>
      <c r="C22" s="26"/>
      <c r="D22" s="26"/>
      <c r="E22" s="26"/>
      <c r="F22" s="26"/>
      <c r="G22" s="26"/>
      <c r="H22" s="136"/>
      <c r="I22" s="45"/>
      <c r="J22" s="45"/>
      <c r="M22" s="102"/>
      <c r="N22" s="102"/>
      <c r="O22" s="102"/>
      <c r="P22" s="102"/>
      <c r="Q22" s="102"/>
      <c r="R22" s="102"/>
    </row>
    <row r="23" spans="1:18" ht="12.75" customHeight="1">
      <c r="A23" s="26" t="s">
        <v>182</v>
      </c>
      <c r="B23" s="26"/>
      <c r="C23" s="26"/>
      <c r="D23" s="26"/>
      <c r="E23" s="26"/>
      <c r="F23" s="26"/>
      <c r="G23" s="26"/>
      <c r="H23" s="44">
        <f>SUM(H18:H22)</f>
        <v>0</v>
      </c>
      <c r="I23" s="45"/>
      <c r="J23" s="45"/>
      <c r="M23" s="102"/>
      <c r="N23" s="102"/>
      <c r="O23" s="102"/>
      <c r="P23" s="102"/>
      <c r="Q23" s="102"/>
      <c r="R23" s="102"/>
    </row>
    <row r="24" spans="1:18" ht="12.75" customHeight="1">
      <c r="A24" s="26" t="s">
        <v>10</v>
      </c>
      <c r="B24" s="26"/>
      <c r="C24" s="26"/>
      <c r="D24" s="137">
        <v>0.1</v>
      </c>
      <c r="E24" s="31"/>
      <c r="F24" s="31"/>
      <c r="G24" s="26"/>
      <c r="H24" s="44">
        <f>D24*H23</f>
        <v>0</v>
      </c>
      <c r="I24" s="45"/>
      <c r="J24" s="45"/>
      <c r="M24" s="102"/>
      <c r="N24" s="102"/>
      <c r="O24" s="102"/>
      <c r="P24" s="102"/>
      <c r="Q24" s="102"/>
      <c r="R24" s="102"/>
    </row>
    <row r="25" spans="1:18" ht="12.75" customHeight="1">
      <c r="A25" s="26"/>
      <c r="B25" s="26" t="s">
        <v>183</v>
      </c>
      <c r="C25" s="26"/>
      <c r="D25" s="31"/>
      <c r="E25" s="31"/>
      <c r="F25" s="31"/>
      <c r="G25" s="26"/>
      <c r="H25" s="45"/>
      <c r="I25" s="45"/>
      <c r="J25" s="44">
        <f>H23+H24</f>
        <v>0</v>
      </c>
      <c r="M25" s="102"/>
      <c r="N25" s="102"/>
      <c r="O25" s="102"/>
      <c r="P25" s="102"/>
      <c r="Q25" s="102"/>
      <c r="R25" s="102"/>
    </row>
    <row r="26" spans="1:18" ht="12.75" customHeight="1">
      <c r="A26" s="26"/>
      <c r="B26" s="26"/>
      <c r="C26" s="26"/>
      <c r="D26" s="31"/>
      <c r="E26" s="31"/>
      <c r="F26" s="31"/>
      <c r="G26" s="26"/>
      <c r="H26" s="45"/>
      <c r="I26" s="45"/>
      <c r="J26" s="45"/>
      <c r="M26" s="102"/>
      <c r="N26" s="102"/>
      <c r="O26" s="102"/>
      <c r="P26" s="102"/>
      <c r="Q26" s="102"/>
      <c r="R26" s="102"/>
    </row>
    <row r="27" spans="1:18" ht="12.75" customHeight="1">
      <c r="A27" s="165" t="s">
        <v>233</v>
      </c>
      <c r="I27" s="45"/>
      <c r="L27" s="32"/>
    </row>
    <row r="28" spans="1:18" ht="12.75" customHeight="1">
      <c r="B28" s="26" t="s">
        <v>210</v>
      </c>
      <c r="C28" s="173" t="s">
        <v>214</v>
      </c>
      <c r="I28" s="45"/>
      <c r="L28" s="32"/>
    </row>
    <row r="29" spans="1:18" ht="12.75" customHeight="1">
      <c r="C29" s="175" t="s">
        <v>231</v>
      </c>
      <c r="I29" s="45"/>
      <c r="L29" s="32"/>
    </row>
    <row r="30" spans="1:18" ht="12.75" customHeight="1">
      <c r="B30" s="171" t="s">
        <v>215</v>
      </c>
      <c r="C30" s="176"/>
      <c r="D30" s="44">
        <f>J25</f>
        <v>0</v>
      </c>
      <c r="I30" s="45"/>
      <c r="L30" s="32"/>
    </row>
    <row r="31" spans="1:18" ht="12.75" customHeight="1">
      <c r="B31" s="171" t="s">
        <v>216</v>
      </c>
      <c r="C31" s="177">
        <f t="shared" ref="C31:C37" si="0">VLOOKUP(B31,LangFactorTable,VLOOKUP($C$28,ProcessingType,2,FALSE),FALSE)</f>
        <v>47</v>
      </c>
      <c r="D31" s="44">
        <f>$D$30*C31/100</f>
        <v>0</v>
      </c>
      <c r="I31" s="45"/>
      <c r="L31" s="32"/>
    </row>
    <row r="32" spans="1:18" ht="12.75" customHeight="1">
      <c r="B32" s="171" t="s">
        <v>217</v>
      </c>
      <c r="C32" s="177">
        <f t="shared" si="0"/>
        <v>36</v>
      </c>
      <c r="D32" s="44">
        <f t="shared" ref="D32:D43" si="1">$D$30*C32/100</f>
        <v>0</v>
      </c>
      <c r="I32" s="45"/>
      <c r="L32" s="32"/>
    </row>
    <row r="33" spans="1:29" ht="12.75" customHeight="1">
      <c r="B33" s="171" t="s">
        <v>218</v>
      </c>
      <c r="C33" s="177">
        <f t="shared" si="0"/>
        <v>68</v>
      </c>
      <c r="D33" s="44">
        <f t="shared" si="1"/>
        <v>0</v>
      </c>
      <c r="I33" s="45"/>
      <c r="L33" s="32"/>
    </row>
    <row r="34" spans="1:29" ht="12.75" customHeight="1">
      <c r="B34" s="171" t="s">
        <v>219</v>
      </c>
      <c r="C34" s="177">
        <f t="shared" si="0"/>
        <v>11</v>
      </c>
      <c r="D34" s="44">
        <f t="shared" si="1"/>
        <v>0</v>
      </c>
      <c r="I34" s="45"/>
      <c r="L34" s="32"/>
    </row>
    <row r="35" spans="1:29" ht="12.75" customHeight="1">
      <c r="B35" s="171" t="s">
        <v>220</v>
      </c>
      <c r="C35" s="177">
        <f t="shared" si="0"/>
        <v>18</v>
      </c>
      <c r="D35" s="44">
        <f t="shared" si="1"/>
        <v>0</v>
      </c>
      <c r="I35" s="45"/>
      <c r="L35" s="32"/>
    </row>
    <row r="36" spans="1:29" ht="12.75" customHeight="1">
      <c r="B36" s="171" t="s">
        <v>221</v>
      </c>
      <c r="C36" s="177">
        <f t="shared" si="0"/>
        <v>10</v>
      </c>
      <c r="D36" s="44">
        <f t="shared" si="1"/>
        <v>0</v>
      </c>
      <c r="I36" s="45"/>
      <c r="L36" s="32"/>
    </row>
    <row r="37" spans="1:29" ht="12.75" customHeight="1">
      <c r="B37" s="171" t="s">
        <v>222</v>
      </c>
      <c r="C37" s="177">
        <f t="shared" si="0"/>
        <v>70</v>
      </c>
      <c r="D37" s="44">
        <f t="shared" si="1"/>
        <v>0</v>
      </c>
      <c r="I37" s="45"/>
      <c r="L37" s="32"/>
    </row>
    <row r="38" spans="1:29" ht="12.75" customHeight="1">
      <c r="B38" s="171" t="s">
        <v>223</v>
      </c>
      <c r="C38" s="177"/>
      <c r="D38" s="44">
        <f>SUM(D30:D37)</f>
        <v>0</v>
      </c>
      <c r="I38" s="45"/>
      <c r="L38" s="32"/>
    </row>
    <row r="39" spans="1:29" ht="12.75" customHeight="1">
      <c r="B39" s="171" t="s">
        <v>224</v>
      </c>
      <c r="C39" s="177">
        <f>VLOOKUP(B39,LangFactorTable,VLOOKUP($C$28,ProcessingType,2,FALSE),FALSE)</f>
        <v>33</v>
      </c>
      <c r="D39" s="44">
        <f t="shared" si="1"/>
        <v>0</v>
      </c>
      <c r="I39" s="45"/>
      <c r="L39" s="32"/>
    </row>
    <row r="40" spans="1:29" ht="12.75" customHeight="1">
      <c r="B40" s="171" t="s">
        <v>225</v>
      </c>
      <c r="C40" s="177">
        <f>VLOOKUP(B40,LangFactorTable,VLOOKUP($C$28,ProcessingType,2,FALSE),FALSE)</f>
        <v>41</v>
      </c>
      <c r="D40" s="44">
        <f t="shared" si="1"/>
        <v>0</v>
      </c>
      <c r="I40" s="45"/>
      <c r="L40" s="32"/>
      <c r="N40" s="165" t="s">
        <v>327</v>
      </c>
      <c r="O40">
        <v>12000</v>
      </c>
      <c r="P40" s="165" t="s">
        <v>328</v>
      </c>
    </row>
    <row r="41" spans="1:29" ht="12.75" customHeight="1">
      <c r="B41" s="171" t="s">
        <v>226</v>
      </c>
      <c r="C41" s="177"/>
      <c r="D41" s="44">
        <f>SUM(D38:D40)</f>
        <v>0</v>
      </c>
      <c r="I41" s="45"/>
      <c r="L41" s="32"/>
      <c r="O41">
        <f>O40/3600</f>
        <v>3.3333333333333335</v>
      </c>
    </row>
    <row r="42" spans="1:29" ht="12.75" customHeight="1">
      <c r="B42" s="171" t="s">
        <v>227</v>
      </c>
      <c r="C42" s="177">
        <f>VLOOKUP(B42,LangFactorTable,VLOOKUP($C$28,ProcessingType,2,FALSE),FALSE)</f>
        <v>26</v>
      </c>
      <c r="D42" s="44">
        <f t="shared" si="1"/>
        <v>0</v>
      </c>
      <c r="I42" s="45"/>
      <c r="L42" s="32"/>
    </row>
    <row r="43" spans="1:29" ht="12.75" customHeight="1">
      <c r="B43" s="171" t="s">
        <v>13</v>
      </c>
      <c r="C43" s="177">
        <f>VLOOKUP(B43,LangFactorTable,VLOOKUP($C$28,ProcessingType,2,FALSE),FALSE)</f>
        <v>44</v>
      </c>
      <c r="D43" s="44">
        <f t="shared" si="1"/>
        <v>0</v>
      </c>
      <c r="I43" s="45"/>
      <c r="L43" s="32"/>
    </row>
    <row r="44" spans="1:29" ht="12.75" customHeight="1">
      <c r="B44" s="4"/>
      <c r="I44" s="45"/>
      <c r="L44" s="32"/>
    </row>
    <row r="45" spans="1:29" ht="12.75" customHeight="1">
      <c r="B45" s="171" t="s">
        <v>228</v>
      </c>
      <c r="C45" s="174"/>
      <c r="D45" s="44">
        <f>SUM(D41:D43)</f>
        <v>0</v>
      </c>
      <c r="I45" s="45"/>
      <c r="L45" s="32"/>
    </row>
    <row r="46" spans="1:29" ht="12.75" customHeight="1">
      <c r="I46" s="45"/>
      <c r="L46" s="32"/>
    </row>
    <row r="47" spans="1:29" ht="12.75" customHeight="1">
      <c r="A47" s="178" t="s">
        <v>234</v>
      </c>
      <c r="I47" s="45"/>
      <c r="L47" s="32"/>
      <c r="V47" s="165"/>
    </row>
    <row r="48" spans="1:29" ht="12.75" customHeight="1">
      <c r="I48" s="45"/>
      <c r="L48" s="32"/>
      <c r="N48" s="5" t="s">
        <v>354</v>
      </c>
      <c r="R48" s="5" t="s">
        <v>291</v>
      </c>
      <c r="V48" s="5" t="s">
        <v>292</v>
      </c>
      <c r="W48" s="199">
        <f>W65+W82+W99+W116</f>
        <v>9607386.734230822</v>
      </c>
      <c r="AB48" s="5" t="s">
        <v>238</v>
      </c>
      <c r="AC48" s="199">
        <f>AC56+AC64+AC72+AC80+AF56+AF64+AF72+AF80+AI56+AI64+AI72+AI80</f>
        <v>3649000</v>
      </c>
    </row>
    <row r="49" spans="1:36" ht="12.75" customHeight="1">
      <c r="A49" s="75"/>
      <c r="B49" s="26"/>
      <c r="C49" s="26"/>
      <c r="D49" s="31"/>
      <c r="E49" s="31"/>
      <c r="F49" s="31"/>
      <c r="G49" s="26"/>
      <c r="H49" s="45"/>
      <c r="I49" s="45"/>
      <c r="L49" s="32"/>
    </row>
    <row r="50" spans="1:36" ht="12.75" customHeight="1">
      <c r="A50" s="75" t="s">
        <v>191</v>
      </c>
      <c r="B50" s="26"/>
      <c r="C50" s="26"/>
      <c r="D50" t="s">
        <v>184</v>
      </c>
      <c r="E50" s="64" t="s">
        <v>185</v>
      </c>
      <c r="F50" s="31"/>
      <c r="G50" s="26"/>
      <c r="H50" s="45"/>
      <c r="I50" s="45"/>
      <c r="J50" s="117"/>
      <c r="L50" s="32"/>
      <c r="O50" s="165" t="s">
        <v>251</v>
      </c>
      <c r="R50" s="165" t="s">
        <v>282</v>
      </c>
      <c r="U50" s="165"/>
      <c r="V50" s="165" t="s">
        <v>293</v>
      </c>
      <c r="AB50" s="165" t="s">
        <v>275</v>
      </c>
      <c r="AE50" s="165" t="s">
        <v>363</v>
      </c>
      <c r="AH50" s="165" t="s">
        <v>367</v>
      </c>
    </row>
    <row r="51" spans="1:36" ht="12.75" customHeight="1">
      <c r="A51" s="26" t="s">
        <v>11</v>
      </c>
      <c r="B51" s="26"/>
      <c r="C51" s="193" t="s">
        <v>25</v>
      </c>
      <c r="D51" t="s">
        <v>9</v>
      </c>
      <c r="E51" s="64" t="s">
        <v>12</v>
      </c>
      <c r="F51" s="31" t="s">
        <v>284</v>
      </c>
      <c r="G51" s="26"/>
      <c r="H51" s="45"/>
      <c r="I51" s="45"/>
      <c r="J51" s="118"/>
      <c r="K51" s="165" t="s">
        <v>184</v>
      </c>
      <c r="L51" s="32">
        <f>2*D52+D53+2*D54+3*D55+2*D56+2*D57+2*D58+2*D59+D60+D61</f>
        <v>53108.549094177812</v>
      </c>
      <c r="N51" s="165" t="s">
        <v>252</v>
      </c>
      <c r="O51" s="165" t="s">
        <v>265</v>
      </c>
      <c r="R51" s="165" t="s">
        <v>252</v>
      </c>
      <c r="S51" s="165" t="s">
        <v>308</v>
      </c>
      <c r="W51" s="165" t="s">
        <v>298</v>
      </c>
      <c r="X51" s="165" t="s">
        <v>299</v>
      </c>
      <c r="AB51" s="165" t="s">
        <v>358</v>
      </c>
      <c r="AC51" s="171" t="s">
        <v>347</v>
      </c>
      <c r="AE51" s="165" t="s">
        <v>358</v>
      </c>
      <c r="AF51" s="171" t="s">
        <v>348</v>
      </c>
      <c r="AH51" s="165" t="s">
        <v>358</v>
      </c>
      <c r="AI51" s="171" t="s">
        <v>351</v>
      </c>
    </row>
    <row r="52" spans="1:36" ht="12.75" customHeight="1">
      <c r="A52" s="26"/>
      <c r="B52" s="134" t="s">
        <v>246</v>
      </c>
      <c r="C52" s="26">
        <v>1</v>
      </c>
      <c r="D52" s="181">
        <f>O71/1000</f>
        <v>1015.8315193956788</v>
      </c>
      <c r="E52" s="134">
        <v>4.16</v>
      </c>
      <c r="F52" s="26">
        <v>1</v>
      </c>
      <c r="G52" s="26"/>
      <c r="H52" s="44">
        <f>E52*D52*C52</f>
        <v>4225.8591206860237</v>
      </c>
      <c r="I52" s="45"/>
      <c r="J52" s="119"/>
      <c r="L52" s="32"/>
      <c r="M52" s="165" t="s">
        <v>257</v>
      </c>
      <c r="N52" s="165" t="s">
        <v>253</v>
      </c>
      <c r="R52" s="165" t="s">
        <v>281</v>
      </c>
      <c r="V52" s="165" t="s">
        <v>294</v>
      </c>
      <c r="W52" s="165">
        <f>11.52 + N("efewfew")</f>
        <v>11.52</v>
      </c>
      <c r="X52">
        <f>W52*0.3048</f>
        <v>3.5112960000000002</v>
      </c>
      <c r="AB52" s="165" t="s">
        <v>338</v>
      </c>
      <c r="AC52" s="200">
        <f>6.32*10^7</f>
        <v>63200000</v>
      </c>
      <c r="AD52" s="165" t="s">
        <v>357</v>
      </c>
      <c r="AE52" s="165" t="s">
        <v>338</v>
      </c>
      <c r="AF52" s="200">
        <f>1.46*10^7</f>
        <v>14600000</v>
      </c>
      <c r="AG52" s="165" t="s">
        <v>357</v>
      </c>
      <c r="AH52" s="165" t="s">
        <v>338</v>
      </c>
      <c r="AI52" s="200">
        <f>1.22*10^6</f>
        <v>1220000</v>
      </c>
      <c r="AJ52" s="165" t="s">
        <v>357</v>
      </c>
    </row>
    <row r="53" spans="1:36" ht="12.75" customHeight="1">
      <c r="A53" s="26"/>
      <c r="B53" s="134" t="s">
        <v>280</v>
      </c>
      <c r="C53" s="26">
        <v>12</v>
      </c>
      <c r="D53" s="181">
        <f>AC48/1000</f>
        <v>3649</v>
      </c>
      <c r="E53" s="134">
        <v>3.17</v>
      </c>
      <c r="F53" s="194">
        <f>720/575.7</f>
        <v>1.2506513809275663</v>
      </c>
      <c r="G53" s="26"/>
      <c r="H53" s="44">
        <f>E53*D53</f>
        <v>11567.33</v>
      </c>
      <c r="I53" s="45"/>
      <c r="J53" s="119"/>
      <c r="K53" s="165" t="s">
        <v>256</v>
      </c>
      <c r="L53" s="195">
        <f>720/575.7</f>
        <v>1.2506513809275663</v>
      </c>
      <c r="N53" s="165" t="s">
        <v>258</v>
      </c>
      <c r="O53">
        <v>9959</v>
      </c>
      <c r="P53" s="165" t="s">
        <v>267</v>
      </c>
      <c r="R53" s="165" t="s">
        <v>283</v>
      </c>
      <c r="S53">
        <v>0.57999999999999996</v>
      </c>
      <c r="V53" s="165" t="s">
        <v>295</v>
      </c>
      <c r="W53">
        <v>107.22</v>
      </c>
      <c r="X53">
        <f t="shared" ref="X53" si="2">W53*0.3048</f>
        <v>32.680655999999999</v>
      </c>
      <c r="AB53" s="165" t="s">
        <v>355</v>
      </c>
      <c r="AC53" s="206" t="s">
        <v>356</v>
      </c>
      <c r="AD53" s="165"/>
      <c r="AE53" s="165" t="s">
        <v>355</v>
      </c>
      <c r="AF53" s="206" t="s">
        <v>356</v>
      </c>
      <c r="AG53" s="165"/>
      <c r="AH53" s="165" t="s">
        <v>355</v>
      </c>
      <c r="AI53" s="206" t="s">
        <v>356</v>
      </c>
      <c r="AJ53" s="165"/>
    </row>
    <row r="54" spans="1:36" ht="12.75" customHeight="1">
      <c r="A54" s="26"/>
      <c r="B54" s="134" t="s">
        <v>291</v>
      </c>
      <c r="C54" s="26">
        <v>2</v>
      </c>
      <c r="D54" s="181">
        <v>14</v>
      </c>
      <c r="E54" s="134">
        <v>3.2</v>
      </c>
      <c r="F54" s="26">
        <f>720/567</f>
        <v>1.2698412698412698</v>
      </c>
      <c r="G54" s="26"/>
      <c r="H54" s="44">
        <f t="shared" ref="H54:H59" si="3">E54*D54*C54</f>
        <v>89.600000000000009</v>
      </c>
      <c r="I54" s="45"/>
      <c r="J54" s="119"/>
      <c r="L54" s="32"/>
      <c r="M54" s="165"/>
      <c r="N54" s="165" t="s">
        <v>259</v>
      </c>
      <c r="O54">
        <f>2.517*10^4</f>
        <v>25170</v>
      </c>
      <c r="P54" s="165" t="s">
        <v>267</v>
      </c>
      <c r="R54" s="165" t="s">
        <v>285</v>
      </c>
      <c r="S54">
        <v>455.9</v>
      </c>
      <c r="V54" s="165" t="s">
        <v>300</v>
      </c>
      <c r="W54">
        <v>5000</v>
      </c>
      <c r="X54" s="165" t="s">
        <v>266</v>
      </c>
      <c r="AB54" s="165" t="s">
        <v>264</v>
      </c>
      <c r="AC54">
        <v>1000</v>
      </c>
      <c r="AD54" s="165" t="s">
        <v>266</v>
      </c>
      <c r="AE54" s="165" t="s">
        <v>264</v>
      </c>
      <c r="AF54">
        <v>2000</v>
      </c>
      <c r="AG54" s="165" t="s">
        <v>266</v>
      </c>
      <c r="AH54" s="165" t="s">
        <v>264</v>
      </c>
      <c r="AI54">
        <v>2000</v>
      </c>
      <c r="AJ54" s="165" t="s">
        <v>266</v>
      </c>
    </row>
    <row r="55" spans="1:36" ht="12.75" customHeight="1">
      <c r="A55" s="26"/>
      <c r="B55" s="134" t="s">
        <v>248</v>
      </c>
      <c r="C55" s="26">
        <v>1</v>
      </c>
      <c r="D55" s="181">
        <f>O95/1000</f>
        <v>8235.005220480929</v>
      </c>
      <c r="E55" s="134">
        <v>1.86</v>
      </c>
      <c r="F55" s="26">
        <f>720/567</f>
        <v>1.2698412698412698</v>
      </c>
      <c r="G55" s="26"/>
      <c r="H55" s="44">
        <f t="shared" si="3"/>
        <v>15317.109710094528</v>
      </c>
      <c r="I55" s="45"/>
      <c r="J55" s="119"/>
      <c r="L55" s="32"/>
      <c r="M55" s="165" t="s">
        <v>260</v>
      </c>
      <c r="N55" s="165" t="s">
        <v>261</v>
      </c>
      <c r="O55">
        <f>2.665*10^5</f>
        <v>266500</v>
      </c>
      <c r="P55" s="165" t="s">
        <v>267</v>
      </c>
      <c r="R55" s="165" t="s">
        <v>286</v>
      </c>
      <c r="S55">
        <v>374.1</v>
      </c>
      <c r="V55" s="165" t="s">
        <v>296</v>
      </c>
      <c r="W55" s="165" t="s">
        <v>301</v>
      </c>
      <c r="AB55" s="165" t="s">
        <v>278</v>
      </c>
      <c r="AC55">
        <v>2577</v>
      </c>
      <c r="AD55" s="165" t="s">
        <v>279</v>
      </c>
      <c r="AE55" s="165" t="s">
        <v>278</v>
      </c>
      <c r="AF55">
        <v>3992</v>
      </c>
      <c r="AG55" s="165" t="s">
        <v>279</v>
      </c>
      <c r="AH55" s="165" t="s">
        <v>278</v>
      </c>
      <c r="AI55">
        <v>307</v>
      </c>
      <c r="AJ55" s="165" t="s">
        <v>279</v>
      </c>
    </row>
    <row r="56" spans="1:36" ht="12.75" customHeight="1">
      <c r="A56" s="26"/>
      <c r="B56" s="134" t="s">
        <v>292</v>
      </c>
      <c r="C56" s="26">
        <v>4</v>
      </c>
      <c r="D56" s="181">
        <f>W48/1000</f>
        <v>9607.3867342308222</v>
      </c>
      <c r="E56" s="134">
        <v>4.16</v>
      </c>
      <c r="F56" s="26">
        <v>1</v>
      </c>
      <c r="G56" s="26"/>
      <c r="H56" s="44">
        <f>E56*D56</f>
        <v>39966.728814400223</v>
      </c>
      <c r="I56" s="45"/>
      <c r="J56" s="119"/>
      <c r="L56" s="32"/>
      <c r="N56" s="165" t="s">
        <v>262</v>
      </c>
      <c r="O56">
        <f>5.061*10^4</f>
        <v>50610</v>
      </c>
      <c r="P56" s="165" t="s">
        <v>267</v>
      </c>
      <c r="R56" s="165" t="s">
        <v>287</v>
      </c>
      <c r="S56">
        <f>S54*S55^0.5</f>
        <v>8817.8650149001478</v>
      </c>
      <c r="V56" s="165" t="s">
        <v>330</v>
      </c>
      <c r="W56" s="196">
        <v>3241045.099366229</v>
      </c>
      <c r="Y56" s="165" t="s">
        <v>306</v>
      </c>
      <c r="AB56" s="165" t="s">
        <v>9</v>
      </c>
      <c r="AC56" s="196">
        <v>287300</v>
      </c>
      <c r="AD56" s="165" t="s">
        <v>371</v>
      </c>
      <c r="AE56" s="165" t="s">
        <v>9</v>
      </c>
      <c r="AF56" s="196">
        <v>405300</v>
      </c>
      <c r="AH56" s="165" t="s">
        <v>9</v>
      </c>
      <c r="AI56" s="196">
        <v>54700</v>
      </c>
    </row>
    <row r="57" spans="1:36" ht="12.75" customHeight="1">
      <c r="A57" s="26"/>
      <c r="B57" s="134" t="s">
        <v>249</v>
      </c>
      <c r="C57" s="26">
        <v>1</v>
      </c>
      <c r="D57" s="181">
        <f>687000/1000</f>
        <v>687</v>
      </c>
      <c r="E57" s="134">
        <v>4.16</v>
      </c>
      <c r="F57" s="26">
        <v>1</v>
      </c>
      <c r="G57" s="26"/>
      <c r="H57" s="44">
        <f>E57*D57*C57</f>
        <v>2857.92</v>
      </c>
      <c r="I57" s="45"/>
      <c r="J57" s="119"/>
      <c r="L57" s="32"/>
      <c r="N57" s="165" t="s">
        <v>263</v>
      </c>
      <c r="O57">
        <f>2.51*10^5</f>
        <v>250999.99999999997</v>
      </c>
      <c r="P57" s="165" t="s">
        <v>267</v>
      </c>
      <c r="R57" s="165" t="s">
        <v>9</v>
      </c>
      <c r="S57" s="196">
        <v>7000</v>
      </c>
      <c r="U57" s="165" t="s">
        <v>311</v>
      </c>
      <c r="V57" s="165" t="s">
        <v>304</v>
      </c>
      <c r="W57" s="196">
        <f>341*W52^0.63316*W53^0.80161</f>
        <v>67969.334393242578</v>
      </c>
      <c r="Y57" s="165" t="s">
        <v>305</v>
      </c>
    </row>
    <row r="58" spans="1:36" ht="12.75" customHeight="1">
      <c r="A58" s="26"/>
      <c r="B58" s="134" t="s">
        <v>250</v>
      </c>
      <c r="C58" s="26">
        <v>1</v>
      </c>
      <c r="D58" s="182">
        <f>O108/1000*F58</f>
        <v>1053.0484627410108</v>
      </c>
      <c r="E58" s="134">
        <v>3.17</v>
      </c>
      <c r="F58" s="194">
        <f>720/575.7</f>
        <v>1.2506513809275663</v>
      </c>
      <c r="G58" s="26"/>
      <c r="H58" s="44">
        <f>E58*D58*C58</f>
        <v>3338.1636268890043</v>
      </c>
      <c r="I58" s="45"/>
      <c r="J58" s="119"/>
      <c r="L58" s="32"/>
      <c r="N58" s="165" t="s">
        <v>273</v>
      </c>
      <c r="O58">
        <f>-1.8*10^5</f>
        <v>-180000</v>
      </c>
      <c r="P58" s="165" t="s">
        <v>274</v>
      </c>
      <c r="R58" s="165" t="s">
        <v>288</v>
      </c>
      <c r="S58" s="207">
        <f>S57*2</f>
        <v>14000</v>
      </c>
      <c r="U58" s="165" t="s">
        <v>310</v>
      </c>
      <c r="V58" s="165" t="s">
        <v>309</v>
      </c>
      <c r="W58" s="196">
        <f>468*EXP(0.1482*W52)</f>
        <v>2580.484099856621</v>
      </c>
      <c r="Y58" s="165" t="s">
        <v>319</v>
      </c>
      <c r="AB58" s="165" t="s">
        <v>359</v>
      </c>
      <c r="AE58" s="165" t="s">
        <v>364</v>
      </c>
      <c r="AH58" s="165" t="s">
        <v>368</v>
      </c>
    </row>
    <row r="59" spans="1:36" ht="12.75" customHeight="1">
      <c r="A59" s="26"/>
      <c r="B59" s="134"/>
      <c r="C59" s="26"/>
      <c r="D59" s="181"/>
      <c r="E59" s="134"/>
      <c r="F59" s="26"/>
      <c r="G59" s="26"/>
      <c r="H59" s="44">
        <f t="shared" si="3"/>
        <v>0</v>
      </c>
      <c r="I59" s="45"/>
      <c r="J59" s="119"/>
      <c r="L59" s="32"/>
      <c r="N59" s="165" t="s">
        <v>264</v>
      </c>
      <c r="O59">
        <v>1000</v>
      </c>
      <c r="P59" s="165" t="s">
        <v>266</v>
      </c>
      <c r="V59" s="165" t="s">
        <v>312</v>
      </c>
      <c r="W59">
        <v>31</v>
      </c>
      <c r="AB59" s="165" t="s">
        <v>358</v>
      </c>
      <c r="AC59" s="171" t="s">
        <v>348</v>
      </c>
      <c r="AE59" s="165" t="s">
        <v>358</v>
      </c>
      <c r="AF59" s="171" t="s">
        <v>350</v>
      </c>
      <c r="AH59" s="165" t="s">
        <v>358</v>
      </c>
      <c r="AI59" s="171" t="s">
        <v>349</v>
      </c>
    </row>
    <row r="60" spans="1:36" ht="12.75" customHeight="1">
      <c r="A60" s="26"/>
      <c r="B60" s="134"/>
      <c r="C60" s="26"/>
      <c r="D60" s="181"/>
      <c r="E60" s="134"/>
      <c r="F60" s="26"/>
      <c r="G60" s="26"/>
      <c r="H60" s="44">
        <f>E60*D60*C60</f>
        <v>0</v>
      </c>
      <c r="I60" s="45"/>
      <c r="J60" s="119"/>
      <c r="L60" s="32"/>
      <c r="N60" s="165" t="s">
        <v>326</v>
      </c>
      <c r="O60">
        <v>785</v>
      </c>
      <c r="P60" s="165" t="s">
        <v>276</v>
      </c>
      <c r="R60" s="165" t="s">
        <v>289</v>
      </c>
      <c r="U60" s="165" t="s">
        <v>315</v>
      </c>
      <c r="V60" s="198" t="s">
        <v>313</v>
      </c>
      <c r="W60">
        <f>2.25/(1.0414^W59)</f>
        <v>0.63979043732413854</v>
      </c>
      <c r="Y60" s="165" t="s">
        <v>320</v>
      </c>
      <c r="AB60" s="165" t="s">
        <v>338</v>
      </c>
      <c r="AC60" s="200">
        <f>7.82*10^7</f>
        <v>78200000</v>
      </c>
      <c r="AD60" s="165" t="s">
        <v>357</v>
      </c>
      <c r="AE60" s="165" t="s">
        <v>338</v>
      </c>
      <c r="AF60" s="200">
        <f>2.24*10^7</f>
        <v>22400000.000000004</v>
      </c>
      <c r="AG60" s="165" t="s">
        <v>357</v>
      </c>
      <c r="AH60" s="165" t="s">
        <v>338</v>
      </c>
      <c r="AI60" s="200">
        <f>6.73*10^6</f>
        <v>6730000</v>
      </c>
      <c r="AJ60" s="165" t="s">
        <v>357</v>
      </c>
    </row>
    <row r="61" spans="1:36" ht="12.75" customHeight="1">
      <c r="A61" s="26"/>
      <c r="C61" s="26"/>
      <c r="D61" s="182"/>
      <c r="E61" s="134"/>
      <c r="F61" s="109"/>
      <c r="G61" s="26"/>
      <c r="H61" s="44">
        <f>E61*D61*C61</f>
        <v>0</v>
      </c>
      <c r="I61" s="45"/>
      <c r="J61" s="119"/>
      <c r="L61" s="32"/>
      <c r="N61" s="165" t="s">
        <v>329</v>
      </c>
      <c r="O61">
        <v>1100</v>
      </c>
      <c r="R61" s="165" t="s">
        <v>252</v>
      </c>
      <c r="S61" s="165" t="s">
        <v>308</v>
      </c>
      <c r="U61" s="165" t="s">
        <v>316</v>
      </c>
      <c r="V61" s="198" t="s">
        <v>314</v>
      </c>
      <c r="W61">
        <v>1</v>
      </c>
      <c r="X61" s="165" t="s">
        <v>317</v>
      </c>
      <c r="AB61" s="165" t="s">
        <v>355</v>
      </c>
      <c r="AC61" s="206" t="s">
        <v>360</v>
      </c>
      <c r="AD61" s="165"/>
      <c r="AE61" s="165" t="s">
        <v>355</v>
      </c>
      <c r="AF61" s="206" t="s">
        <v>356</v>
      </c>
      <c r="AG61" s="165"/>
      <c r="AH61" s="165" t="s">
        <v>355</v>
      </c>
      <c r="AI61" s="206" t="s">
        <v>356</v>
      </c>
      <c r="AJ61" s="165"/>
    </row>
    <row r="62" spans="1:36" ht="12.75" customHeight="1">
      <c r="A62" s="26" t="s">
        <v>186</v>
      </c>
      <c r="B62" s="26"/>
      <c r="C62" s="26"/>
      <c r="D62" s="183"/>
      <c r="E62" s="26"/>
      <c r="F62" s="26"/>
      <c r="G62" s="26"/>
      <c r="H62" s="44">
        <f>SUM(H52:H61)</f>
        <v>77362.711272069777</v>
      </c>
      <c r="I62" s="45"/>
      <c r="J62" s="45"/>
      <c r="L62" s="32"/>
      <c r="N62" s="165" t="s">
        <v>296</v>
      </c>
      <c r="O62" s="165" t="s">
        <v>301</v>
      </c>
      <c r="R62" s="165" t="s">
        <v>281</v>
      </c>
      <c r="U62" s="165" t="s">
        <v>321</v>
      </c>
      <c r="V62" s="198" t="s">
        <v>322</v>
      </c>
      <c r="W62">
        <f>1.401+0.0724*W52</f>
        <v>2.2350479999999999</v>
      </c>
      <c r="AB62" s="165" t="s">
        <v>264</v>
      </c>
      <c r="AC62">
        <v>2000</v>
      </c>
      <c r="AD62" s="165" t="s">
        <v>266</v>
      </c>
      <c r="AE62" s="165" t="s">
        <v>264</v>
      </c>
      <c r="AF62">
        <v>2000</v>
      </c>
      <c r="AG62" s="165" t="s">
        <v>266</v>
      </c>
      <c r="AH62" s="165" t="s">
        <v>264</v>
      </c>
      <c r="AI62">
        <v>2000</v>
      </c>
      <c r="AJ62" s="165" t="s">
        <v>266</v>
      </c>
    </row>
    <row r="63" spans="1:36" ht="12.75" customHeight="1">
      <c r="A63" s="26"/>
      <c r="B63" s="26"/>
      <c r="C63" s="26"/>
      <c r="D63" s="26"/>
      <c r="E63" s="26"/>
      <c r="F63" s="26"/>
      <c r="G63" s="26"/>
      <c r="H63" s="32"/>
      <c r="I63" s="45"/>
      <c r="J63" s="45"/>
      <c r="L63" s="32"/>
      <c r="N63" s="165" t="s">
        <v>294</v>
      </c>
      <c r="O63" s="165">
        <v>16.404</v>
      </c>
      <c r="P63" s="165" t="s">
        <v>298</v>
      </c>
      <c r="R63" s="165" t="s">
        <v>283</v>
      </c>
      <c r="S63">
        <v>0.57999999999999996</v>
      </c>
      <c r="U63" s="165" t="s">
        <v>324</v>
      </c>
      <c r="V63">
        <f>720/567</f>
        <v>1.2698412698412698</v>
      </c>
      <c r="AB63" s="165" t="s">
        <v>278</v>
      </c>
      <c r="AC63">
        <v>3499</v>
      </c>
      <c r="AD63" s="165" t="s">
        <v>279</v>
      </c>
      <c r="AE63" s="165" t="s">
        <v>278</v>
      </c>
      <c r="AF63">
        <v>3068</v>
      </c>
      <c r="AG63" s="165" t="s">
        <v>279</v>
      </c>
      <c r="AH63" s="165" t="s">
        <v>278</v>
      </c>
      <c r="AI63">
        <v>1346</v>
      </c>
      <c r="AJ63" s="165" t="s">
        <v>279</v>
      </c>
    </row>
    <row r="64" spans="1:36" ht="12.75" customHeight="1">
      <c r="A64" s="26" t="s">
        <v>144</v>
      </c>
      <c r="B64" s="26"/>
      <c r="C64" s="26"/>
      <c r="D64" s="137">
        <v>0.1</v>
      </c>
      <c r="E64" s="26"/>
      <c r="F64" s="26"/>
      <c r="G64" s="26"/>
      <c r="H64" s="44">
        <f>D64*H62</f>
        <v>7736.2711272069782</v>
      </c>
      <c r="I64" s="45"/>
      <c r="J64" s="45"/>
      <c r="L64" s="32"/>
      <c r="N64" s="165" t="s">
        <v>331</v>
      </c>
      <c r="O64" s="165">
        <v>131.2336</v>
      </c>
      <c r="P64" s="165" t="s">
        <v>298</v>
      </c>
      <c r="R64" s="165" t="s">
        <v>285</v>
      </c>
      <c r="S64">
        <v>108.2</v>
      </c>
      <c r="U64" s="165" t="s">
        <v>323</v>
      </c>
      <c r="V64" s="165" t="s">
        <v>318</v>
      </c>
      <c r="W64" s="197">
        <f>W59*W60*W61*W58*W62*V63</f>
        <v>145256.94898225431</v>
      </c>
      <c r="AB64" s="165" t="s">
        <v>9</v>
      </c>
      <c r="AC64" s="196">
        <v>381100</v>
      </c>
      <c r="AE64" s="165" t="s">
        <v>9</v>
      </c>
      <c r="AF64" s="196">
        <v>358400</v>
      </c>
      <c r="AH64" s="165" t="s">
        <v>9</v>
      </c>
      <c r="AI64" s="196">
        <v>232200</v>
      </c>
    </row>
    <row r="65" spans="1:36" ht="12.75" customHeight="1">
      <c r="A65" s="26"/>
      <c r="B65" s="26" t="s">
        <v>145</v>
      </c>
      <c r="C65" s="26"/>
      <c r="D65" s="26"/>
      <c r="E65" s="26"/>
      <c r="F65" s="26"/>
      <c r="G65" s="26"/>
      <c r="H65" s="32"/>
      <c r="I65" s="45"/>
      <c r="J65" s="44">
        <f>H62+H64</f>
        <v>85098.982399276749</v>
      </c>
      <c r="L65" s="32"/>
      <c r="N65" s="165" t="s">
        <v>334</v>
      </c>
      <c r="O65" s="165">
        <v>0.13400000000000001</v>
      </c>
      <c r="P65" s="165"/>
      <c r="R65" s="165" t="s">
        <v>286</v>
      </c>
      <c r="S65">
        <v>29.3</v>
      </c>
      <c r="V65" s="165" t="s">
        <v>325</v>
      </c>
      <c r="W65" s="197">
        <f>W64+W56+W57*V63</f>
        <v>3472612.3142446643</v>
      </c>
      <c r="AF65" s="165"/>
      <c r="AI65" s="165"/>
    </row>
    <row r="66" spans="1:36" ht="12.75" customHeight="1">
      <c r="A66" s="26"/>
      <c r="B66" s="26"/>
      <c r="C66" s="26"/>
      <c r="D66" s="26"/>
      <c r="E66" s="26"/>
      <c r="F66" s="26"/>
      <c r="G66" s="26"/>
      <c r="H66" s="45"/>
      <c r="I66" s="45"/>
      <c r="J66" s="45"/>
      <c r="L66" s="32"/>
      <c r="N66" s="165" t="s">
        <v>335</v>
      </c>
      <c r="O66" s="165">
        <v>498.18</v>
      </c>
      <c r="P66" s="165" t="s">
        <v>336</v>
      </c>
      <c r="R66" s="165" t="s">
        <v>287</v>
      </c>
      <c r="S66">
        <f>S64*S65^0.5</f>
        <v>585.68091312591025</v>
      </c>
      <c r="AB66" s="165" t="s">
        <v>361</v>
      </c>
      <c r="AE66" s="165" t="s">
        <v>365</v>
      </c>
      <c r="AH66" s="165" t="s">
        <v>369</v>
      </c>
    </row>
    <row r="67" spans="1:36" ht="12.75" customHeight="1">
      <c r="A67" s="26"/>
      <c r="B67" s="76" t="s">
        <v>146</v>
      </c>
      <c r="C67" s="26"/>
      <c r="D67" s="31"/>
      <c r="E67" s="31"/>
      <c r="F67" s="31"/>
      <c r="G67" s="26"/>
      <c r="H67" s="45"/>
      <c r="I67" s="45"/>
      <c r="J67" s="44">
        <f>J65</f>
        <v>85098.982399276749</v>
      </c>
      <c r="L67" s="32"/>
      <c r="N67" s="165" t="s">
        <v>332</v>
      </c>
      <c r="O67">
        <f>PI()*(O63+O65)*(O64+0.8*O63)*O65*O66</f>
        <v>500681.09493922815</v>
      </c>
      <c r="P67" s="165" t="s">
        <v>333</v>
      </c>
      <c r="R67" s="165" t="s">
        <v>9</v>
      </c>
      <c r="S67" s="196">
        <v>3500</v>
      </c>
      <c r="AB67" s="165" t="s">
        <v>358</v>
      </c>
      <c r="AC67" s="171" t="s">
        <v>349</v>
      </c>
      <c r="AE67" s="165" t="s">
        <v>358</v>
      </c>
      <c r="AF67" s="171" t="s">
        <v>347</v>
      </c>
      <c r="AH67" s="165" t="s">
        <v>358</v>
      </c>
      <c r="AI67" s="171" t="s">
        <v>348</v>
      </c>
    </row>
    <row r="68" spans="1:36" ht="12.75" customHeight="1">
      <c r="L68" s="32"/>
      <c r="N68" s="165" t="s">
        <v>330</v>
      </c>
      <c r="O68" s="196">
        <v>700000</v>
      </c>
      <c r="P68" s="165" t="s">
        <v>337</v>
      </c>
      <c r="R68" s="165" t="s">
        <v>288</v>
      </c>
      <c r="S68" s="196">
        <f>S67*2</f>
        <v>7000</v>
      </c>
      <c r="V68" s="165" t="s">
        <v>297</v>
      </c>
      <c r="W68" s="165" t="s">
        <v>298</v>
      </c>
      <c r="X68" s="165" t="s">
        <v>299</v>
      </c>
      <c r="AB68" s="165" t="s">
        <v>338</v>
      </c>
      <c r="AC68" s="200">
        <f>1.79*10^7</f>
        <v>17900000</v>
      </c>
      <c r="AD68" s="165" t="s">
        <v>357</v>
      </c>
      <c r="AE68" s="165" t="s">
        <v>338</v>
      </c>
      <c r="AF68" s="200">
        <f>1.39*10^7</f>
        <v>13899999.999999998</v>
      </c>
      <c r="AG68" s="165" t="s">
        <v>357</v>
      </c>
      <c r="AH68" s="165" t="s">
        <v>338</v>
      </c>
      <c r="AI68" s="200">
        <f>4.78*10^7</f>
        <v>47800000</v>
      </c>
      <c r="AJ68" s="165" t="s">
        <v>357</v>
      </c>
    </row>
    <row r="69" spans="1:36">
      <c r="A69" s="75"/>
      <c r="B69" s="26"/>
      <c r="C69" s="26"/>
      <c r="D69" s="31"/>
      <c r="E69" s="31"/>
      <c r="F69" s="31"/>
      <c r="G69" s="26"/>
      <c r="H69" s="45"/>
      <c r="N69" s="165" t="s">
        <v>304</v>
      </c>
      <c r="O69" s="196">
        <f>341*O63^0.63316*O64^0.80161</f>
        <v>99967.321524097148</v>
      </c>
      <c r="R69" s="165" t="s">
        <v>290</v>
      </c>
      <c r="S69" s="207">
        <f>S68*2</f>
        <v>14000</v>
      </c>
      <c r="V69" s="165" t="s">
        <v>294</v>
      </c>
      <c r="W69">
        <v>9.89</v>
      </c>
      <c r="X69">
        <f>W69*0.3048</f>
        <v>3.0144720000000005</v>
      </c>
      <c r="AB69" s="165" t="s">
        <v>355</v>
      </c>
      <c r="AC69" s="206" t="s">
        <v>360</v>
      </c>
      <c r="AD69" s="165"/>
      <c r="AE69" s="165" t="s">
        <v>355</v>
      </c>
      <c r="AF69" s="206" t="s">
        <v>356</v>
      </c>
      <c r="AG69" s="165"/>
      <c r="AH69" s="165" t="s">
        <v>355</v>
      </c>
      <c r="AI69" s="206" t="s">
        <v>356</v>
      </c>
      <c r="AJ69" s="165"/>
    </row>
    <row r="70" spans="1:36">
      <c r="B70" s="26"/>
      <c r="C70" s="26"/>
      <c r="D70" s="158" t="s">
        <v>192</v>
      </c>
      <c r="E70" s="134"/>
      <c r="F70" s="31"/>
      <c r="G70" s="26"/>
      <c r="H70" s="45"/>
      <c r="N70" s="165" t="s">
        <v>324</v>
      </c>
      <c r="O70">
        <f>720/567</f>
        <v>1.2698412698412698</v>
      </c>
      <c r="V70" s="165" t="s">
        <v>295</v>
      </c>
      <c r="W70">
        <v>170</v>
      </c>
      <c r="X70">
        <f t="shared" ref="X70" si="4">W70*0.3048</f>
        <v>51.816000000000003</v>
      </c>
      <c r="AB70" s="165" t="s">
        <v>264</v>
      </c>
      <c r="AC70">
        <v>2000</v>
      </c>
      <c r="AD70" s="165" t="s">
        <v>266</v>
      </c>
      <c r="AE70" s="165" t="s">
        <v>264</v>
      </c>
      <c r="AF70">
        <v>2000</v>
      </c>
      <c r="AG70" s="165" t="s">
        <v>266</v>
      </c>
      <c r="AH70" s="165" t="s">
        <v>264</v>
      </c>
      <c r="AI70">
        <v>2000</v>
      </c>
      <c r="AJ70" s="165" t="s">
        <v>266</v>
      </c>
    </row>
    <row r="71" spans="1:36">
      <c r="B71" s="26"/>
      <c r="C71" s="26"/>
      <c r="D71" s="158" t="s">
        <v>193</v>
      </c>
      <c r="E71" s="134"/>
      <c r="F71" s="31"/>
      <c r="G71" s="26"/>
      <c r="H71" s="45"/>
      <c r="N71" s="165" t="s">
        <v>325</v>
      </c>
      <c r="O71" s="199">
        <f>(O69+O68)*O70</f>
        <v>1015831.5193956788</v>
      </c>
      <c r="R71" s="165" t="s">
        <v>253</v>
      </c>
      <c r="S71" s="165" t="s">
        <v>307</v>
      </c>
      <c r="V71" s="165" t="s">
        <v>300</v>
      </c>
      <c r="W71">
        <v>5000</v>
      </c>
      <c r="AB71" s="165" t="s">
        <v>278</v>
      </c>
      <c r="AC71">
        <v>2261</v>
      </c>
      <c r="AD71" s="165" t="s">
        <v>279</v>
      </c>
      <c r="AE71" s="165" t="s">
        <v>278</v>
      </c>
      <c r="AF71">
        <v>1439</v>
      </c>
      <c r="AG71" s="165" t="s">
        <v>279</v>
      </c>
      <c r="AH71" s="165" t="s">
        <v>278</v>
      </c>
      <c r="AI71">
        <v>2402</v>
      </c>
      <c r="AJ71" s="165" t="s">
        <v>279</v>
      </c>
    </row>
    <row r="72" spans="1:36">
      <c r="B72" s="26"/>
      <c r="C72" s="26"/>
      <c r="D72" s="158" t="s">
        <v>194</v>
      </c>
      <c r="E72" s="134"/>
      <c r="F72" s="31"/>
      <c r="G72" s="26"/>
      <c r="H72" s="45"/>
      <c r="V72" s="165" t="s">
        <v>296</v>
      </c>
      <c r="W72" s="165" t="s">
        <v>301</v>
      </c>
      <c r="AB72" s="165" t="s">
        <v>9</v>
      </c>
      <c r="AC72" s="196">
        <v>310800</v>
      </c>
      <c r="AE72" s="165" t="s">
        <v>9</v>
      </c>
      <c r="AF72" s="196">
        <v>251600</v>
      </c>
      <c r="AH72" s="165" t="s">
        <v>9</v>
      </c>
      <c r="AI72" s="196">
        <v>319700</v>
      </c>
    </row>
    <row r="73" spans="1:36">
      <c r="B73" s="26"/>
      <c r="C73" s="26"/>
      <c r="D73" s="158" t="s">
        <v>195</v>
      </c>
      <c r="E73" s="134"/>
      <c r="F73" s="31"/>
      <c r="G73" s="26"/>
      <c r="H73" s="45"/>
      <c r="V73" s="165" t="s">
        <v>330</v>
      </c>
      <c r="W73" s="196">
        <v>4654647.8483606549</v>
      </c>
    </row>
    <row r="74" spans="1:36">
      <c r="B74" s="26"/>
      <c r="C74" s="26"/>
      <c r="D74" s="158" t="s">
        <v>196</v>
      </c>
      <c r="E74" s="134">
        <v>1.4</v>
      </c>
      <c r="F74" s="31"/>
      <c r="G74" s="26"/>
      <c r="H74" s="45"/>
      <c r="O74" s="165" t="s">
        <v>254</v>
      </c>
      <c r="U74" s="165" t="s">
        <v>311</v>
      </c>
      <c r="V74" s="165" t="s">
        <v>304</v>
      </c>
      <c r="W74" s="196">
        <f>341*W69^0.63316*W70^0.80161</f>
        <v>89294.153148254889</v>
      </c>
      <c r="AB74" s="165" t="s">
        <v>362</v>
      </c>
      <c r="AE74" s="165" t="s">
        <v>366</v>
      </c>
      <c r="AH74" s="165" t="s">
        <v>370</v>
      </c>
    </row>
    <row r="75" spans="1:36">
      <c r="B75" s="26"/>
      <c r="C75" s="26"/>
      <c r="D75" s="158" t="s">
        <v>197</v>
      </c>
      <c r="E75" s="134"/>
      <c r="F75" s="31"/>
      <c r="G75" s="26"/>
      <c r="H75" s="45"/>
      <c r="N75" s="165" t="s">
        <v>252</v>
      </c>
      <c r="O75" s="165" t="s">
        <v>340</v>
      </c>
      <c r="U75" s="165" t="s">
        <v>310</v>
      </c>
      <c r="V75" s="165" t="s">
        <v>309</v>
      </c>
      <c r="W75" s="196">
        <f>468*EXP(0.1482*W69)</f>
        <v>2026.7043825253734</v>
      </c>
      <c r="AB75" s="165" t="s">
        <v>358</v>
      </c>
      <c r="AC75" s="171" t="s">
        <v>348</v>
      </c>
      <c r="AE75" s="165" t="s">
        <v>358</v>
      </c>
      <c r="AF75" s="171" t="s">
        <v>349</v>
      </c>
      <c r="AH75" s="165" t="s">
        <v>358</v>
      </c>
      <c r="AI75" s="171" t="s">
        <v>349</v>
      </c>
    </row>
    <row r="76" spans="1:36">
      <c r="A76" s="26" t="s">
        <v>201</v>
      </c>
      <c r="C76" s="26"/>
      <c r="D76" s="31"/>
      <c r="E76" s="31"/>
      <c r="F76" s="31"/>
      <c r="G76" s="26"/>
      <c r="H76" s="44">
        <f>J67+SUM(E70:E75)</f>
        <v>85100.382399276743</v>
      </c>
      <c r="M76" s="165" t="s">
        <v>257</v>
      </c>
      <c r="N76" s="165" t="s">
        <v>253</v>
      </c>
      <c r="V76" s="165" t="s">
        <v>312</v>
      </c>
      <c r="W76">
        <v>220</v>
      </c>
      <c r="AB76" s="165" t="s">
        <v>338</v>
      </c>
      <c r="AC76" s="200">
        <f>3.16*10^7</f>
        <v>31600000</v>
      </c>
      <c r="AD76" s="165" t="s">
        <v>357</v>
      </c>
      <c r="AE76" s="165" t="s">
        <v>338</v>
      </c>
      <c r="AF76" s="200">
        <f>1.44*10^7</f>
        <v>14400000</v>
      </c>
      <c r="AG76" s="165" t="s">
        <v>357</v>
      </c>
      <c r="AH76" s="165" t="s">
        <v>338</v>
      </c>
      <c r="AI76" s="200">
        <f>4.47*10^7</f>
        <v>44700000</v>
      </c>
      <c r="AJ76" s="165" t="s">
        <v>357</v>
      </c>
    </row>
    <row r="77" spans="1:36">
      <c r="A77" s="75"/>
      <c r="B77" s="26"/>
      <c r="C77" s="26"/>
      <c r="D77" s="31"/>
      <c r="E77" s="31"/>
      <c r="F77" s="31"/>
      <c r="G77" s="26"/>
      <c r="H77" s="45"/>
      <c r="N77" s="165" t="s">
        <v>268</v>
      </c>
      <c r="O77">
        <f>1.045*10^5</f>
        <v>104500</v>
      </c>
      <c r="U77" s="165" t="s">
        <v>315</v>
      </c>
      <c r="V77" s="198" t="s">
        <v>313</v>
      </c>
      <c r="W77">
        <f>2.25/(1.0414^W76)</f>
        <v>2.9944452945917133E-4</v>
      </c>
      <c r="AB77" s="165" t="s">
        <v>355</v>
      </c>
      <c r="AC77" s="206" t="s">
        <v>360</v>
      </c>
      <c r="AD77" s="165"/>
      <c r="AE77" s="165" t="s">
        <v>355</v>
      </c>
      <c r="AF77" s="206" t="s">
        <v>356</v>
      </c>
      <c r="AG77" s="165"/>
      <c r="AH77" s="165" t="s">
        <v>355</v>
      </c>
      <c r="AI77" s="206" t="s">
        <v>356</v>
      </c>
      <c r="AJ77" s="165"/>
    </row>
    <row r="78" spans="1:36">
      <c r="A78" s="26" t="s">
        <v>207</v>
      </c>
      <c r="B78" s="137" t="s">
        <v>202</v>
      </c>
      <c r="D78" s="157" t="s">
        <v>198</v>
      </c>
      <c r="E78" s="166">
        <f>VLOOKUP(B78,$B$126:$D$127,2)</f>
        <v>0.15</v>
      </c>
      <c r="F78" s="31"/>
      <c r="G78" s="26"/>
      <c r="H78" s="44">
        <f>E78*H76</f>
        <v>12765.057359891511</v>
      </c>
      <c r="M78" s="165" t="s">
        <v>260</v>
      </c>
      <c r="N78" s="165" t="s">
        <v>269</v>
      </c>
      <c r="O78" s="200">
        <f>1.211*10^8</f>
        <v>121100000.00000001</v>
      </c>
      <c r="P78" s="165" t="s">
        <v>270</v>
      </c>
      <c r="U78" s="165" t="s">
        <v>316</v>
      </c>
      <c r="V78" s="198" t="s">
        <v>314</v>
      </c>
      <c r="W78">
        <v>1</v>
      </c>
      <c r="X78" s="165" t="s">
        <v>317</v>
      </c>
      <c r="AB78" s="165" t="s">
        <v>264</v>
      </c>
      <c r="AC78">
        <v>1000</v>
      </c>
      <c r="AD78" s="165" t="s">
        <v>266</v>
      </c>
      <c r="AE78" s="165" t="s">
        <v>264</v>
      </c>
      <c r="AF78">
        <v>2000</v>
      </c>
      <c r="AG78" s="165" t="s">
        <v>266</v>
      </c>
      <c r="AH78" s="165" t="s">
        <v>264</v>
      </c>
      <c r="AI78">
        <v>2000</v>
      </c>
      <c r="AJ78" s="165" t="s">
        <v>266</v>
      </c>
    </row>
    <row r="79" spans="1:36">
      <c r="A79" s="75"/>
      <c r="B79" s="26"/>
      <c r="D79" s="157" t="s">
        <v>235</v>
      </c>
      <c r="E79" s="166">
        <f>VLOOKUP(B78,$B$126:$D$127,3)</f>
        <v>0.2</v>
      </c>
      <c r="F79" s="31"/>
      <c r="G79" s="26"/>
      <c r="H79" s="44">
        <f>E79*H76</f>
        <v>17020.07647985535</v>
      </c>
      <c r="N79" s="165" t="s">
        <v>271</v>
      </c>
      <c r="O79">
        <f>1.045*10^5</f>
        <v>104500</v>
      </c>
      <c r="U79" s="165" t="s">
        <v>321</v>
      </c>
      <c r="V79" s="198" t="s">
        <v>322</v>
      </c>
      <c r="W79">
        <f>1.401+0.0724*W69</f>
        <v>2.1170360000000001</v>
      </c>
      <c r="AB79" s="165" t="s">
        <v>278</v>
      </c>
      <c r="AC79">
        <v>2963</v>
      </c>
      <c r="AD79" s="165" t="s">
        <v>279</v>
      </c>
      <c r="AE79" s="165" t="s">
        <v>278</v>
      </c>
      <c r="AF79">
        <v>5551</v>
      </c>
      <c r="AG79" s="165" t="s">
        <v>279</v>
      </c>
      <c r="AH79" s="165" t="s">
        <v>278</v>
      </c>
      <c r="AI79">
        <v>1654</v>
      </c>
      <c r="AJ79" s="165" t="s">
        <v>279</v>
      </c>
    </row>
    <row r="80" spans="1:36">
      <c r="A80" s="75"/>
      <c r="B80" s="26"/>
      <c r="D80" s="157" t="s">
        <v>200</v>
      </c>
      <c r="E80" s="134"/>
      <c r="F80" s="31"/>
      <c r="G80" s="26"/>
      <c r="H80" s="44">
        <f>E80</f>
        <v>0</v>
      </c>
      <c r="N80" s="165" t="s">
        <v>272</v>
      </c>
      <c r="O80">
        <v>0</v>
      </c>
      <c r="U80" s="165" t="s">
        <v>324</v>
      </c>
      <c r="V80">
        <f>720/567</f>
        <v>1.2698412698412698</v>
      </c>
      <c r="AB80" s="165" t="s">
        <v>9</v>
      </c>
      <c r="AC80" s="196">
        <v>306600</v>
      </c>
      <c r="AE80" s="165" t="s">
        <v>9</v>
      </c>
      <c r="AF80" s="196">
        <v>472700</v>
      </c>
      <c r="AH80" s="165" t="s">
        <v>9</v>
      </c>
      <c r="AI80" s="196">
        <v>268600</v>
      </c>
    </row>
    <row r="81" spans="1:24">
      <c r="A81" s="26" t="s">
        <v>229</v>
      </c>
      <c r="C81" s="26"/>
      <c r="D81" s="31"/>
      <c r="E81" s="31"/>
      <c r="F81" s="31"/>
      <c r="G81" s="26"/>
      <c r="H81" s="44">
        <f>H76+SUM(H78:H80)</f>
        <v>114885.51623902361</v>
      </c>
      <c r="N81" s="165" t="s">
        <v>273</v>
      </c>
      <c r="O81">
        <f>7.3*10^4</f>
        <v>73000</v>
      </c>
      <c r="P81" s="165" t="s">
        <v>274</v>
      </c>
      <c r="U81" s="165" t="s">
        <v>323</v>
      </c>
      <c r="V81" s="165" t="s">
        <v>318</v>
      </c>
      <c r="W81" s="197">
        <f>W76*W77*W78*W75*W79*V80</f>
        <v>358.92784509974621</v>
      </c>
    </row>
    <row r="82" spans="1:24">
      <c r="A82" s="75"/>
      <c r="B82" s="26"/>
      <c r="C82" s="26"/>
      <c r="D82" s="31"/>
      <c r="E82" s="31"/>
      <c r="F82" s="31"/>
      <c r="G82" s="26"/>
      <c r="H82" s="45"/>
      <c r="N82" s="165" t="s">
        <v>264</v>
      </c>
      <c r="O82">
        <v>2000</v>
      </c>
      <c r="P82" s="165" t="s">
        <v>266</v>
      </c>
      <c r="V82" s="165" t="s">
        <v>325</v>
      </c>
      <c r="W82" s="197">
        <f>W81+W73+W74*V80</f>
        <v>4768396.1770289354</v>
      </c>
    </row>
    <row r="83" spans="1:24">
      <c r="A83" s="75"/>
      <c r="B83" s="26"/>
      <c r="C83" s="158" t="s">
        <v>199</v>
      </c>
      <c r="D83" s="31"/>
      <c r="E83" s="179">
        <v>0.18</v>
      </c>
      <c r="F83" s="31"/>
      <c r="G83" s="26"/>
      <c r="H83" s="44">
        <f>E83*H81</f>
        <v>20679.39292302425</v>
      </c>
      <c r="N83" s="165" t="s">
        <v>326</v>
      </c>
      <c r="O83">
        <v>785</v>
      </c>
      <c r="P83" s="165" t="s">
        <v>276</v>
      </c>
    </row>
    <row r="84" spans="1:24">
      <c r="A84" s="26" t="s">
        <v>236</v>
      </c>
      <c r="C84" s="26"/>
      <c r="D84" s="31"/>
      <c r="E84" s="31"/>
      <c r="F84" s="31"/>
      <c r="G84" s="26"/>
      <c r="H84" s="44">
        <f>H83+H81</f>
        <v>135564.90916204784</v>
      </c>
      <c r="N84" s="165" t="s">
        <v>329</v>
      </c>
      <c r="O84">
        <v>1100</v>
      </c>
    </row>
    <row r="85" spans="1:24">
      <c r="A85" s="75"/>
      <c r="B85" s="26"/>
      <c r="C85" s="26"/>
      <c r="D85" s="31"/>
      <c r="E85" s="31"/>
      <c r="F85" s="31"/>
      <c r="G85" s="26"/>
      <c r="H85" s="45"/>
      <c r="N85" s="165" t="s">
        <v>296</v>
      </c>
      <c r="O85" s="165" t="s">
        <v>301</v>
      </c>
      <c r="V85" s="165" t="s">
        <v>302</v>
      </c>
      <c r="W85" s="165" t="s">
        <v>298</v>
      </c>
      <c r="X85" s="165" t="s">
        <v>299</v>
      </c>
    </row>
    <row r="86" spans="1:24">
      <c r="A86" s="26" t="s">
        <v>209</v>
      </c>
      <c r="C86" s="26"/>
      <c r="D86" s="31"/>
      <c r="E86" s="31"/>
      <c r="F86" s="31"/>
      <c r="G86" s="26"/>
      <c r="H86" s="44">
        <f>H84+D45</f>
        <v>135564.90916204784</v>
      </c>
      <c r="N86" s="165" t="s">
        <v>294</v>
      </c>
      <c r="O86" s="165">
        <v>2.6246999999999998</v>
      </c>
      <c r="V86" s="165" t="s">
        <v>294</v>
      </c>
      <c r="W86">
        <v>2.73</v>
      </c>
      <c r="X86">
        <f>W86*0.3048</f>
        <v>0.83210400000000007</v>
      </c>
    </row>
    <row r="87" spans="1:24" ht="12.75" customHeight="1">
      <c r="N87" s="165" t="s">
        <v>331</v>
      </c>
      <c r="O87" s="165">
        <v>295.2756</v>
      </c>
      <c r="V87" s="165" t="s">
        <v>295</v>
      </c>
      <c r="W87">
        <v>44.29</v>
      </c>
      <c r="X87">
        <f t="shared" ref="X87" si="5">W87*0.3048</f>
        <v>13.499592</v>
      </c>
    </row>
    <row r="88" spans="1:24" ht="12.75" customHeight="1">
      <c r="A88" s="26"/>
      <c r="B88" s="26"/>
      <c r="C88" s="26"/>
      <c r="D88" s="26"/>
      <c r="E88" s="26"/>
      <c r="F88" s="26"/>
      <c r="G88" s="26"/>
      <c r="H88" s="47"/>
      <c r="I88" s="45"/>
      <c r="J88" s="45" t="s">
        <v>14</v>
      </c>
      <c r="N88" s="165" t="s">
        <v>339</v>
      </c>
      <c r="O88" s="196">
        <v>7904827.764159698</v>
      </c>
      <c r="P88" s="165" t="s">
        <v>306</v>
      </c>
      <c r="V88" s="165" t="s">
        <v>300</v>
      </c>
      <c r="W88">
        <v>5000</v>
      </c>
    </row>
    <row r="89" spans="1:24" ht="12.75" customHeight="1">
      <c r="A89" s="26"/>
      <c r="B89" s="26" t="s">
        <v>15</v>
      </c>
      <c r="C89" s="26"/>
      <c r="D89" s="31"/>
      <c r="E89" s="31"/>
      <c r="F89" s="31"/>
      <c r="G89" s="26"/>
      <c r="H89"/>
      <c r="I89" s="45"/>
      <c r="J89" s="44">
        <f>H86</f>
        <v>135564.90916204784</v>
      </c>
      <c r="N89" s="165" t="s">
        <v>334</v>
      </c>
      <c r="O89" s="165">
        <v>0.13400000000000001</v>
      </c>
      <c r="V89" s="165" t="s">
        <v>296</v>
      </c>
      <c r="W89" s="165" t="s">
        <v>301</v>
      </c>
    </row>
    <row r="90" spans="1:24" ht="12.75" customHeight="1">
      <c r="A90" s="26" t="s">
        <v>16</v>
      </c>
      <c r="B90" s="26"/>
      <c r="C90" s="26"/>
      <c r="D90" s="137">
        <v>1</v>
      </c>
      <c r="E90" s="31" t="s">
        <v>17</v>
      </c>
      <c r="F90" s="31"/>
      <c r="G90" s="26"/>
      <c r="H90" s="45"/>
      <c r="I90" s="45"/>
      <c r="J90" s="44">
        <f>ROUND(D90*$J$89,0)</f>
        <v>135565</v>
      </c>
      <c r="N90" s="165" t="s">
        <v>335</v>
      </c>
      <c r="O90" s="165">
        <v>498.18</v>
      </c>
      <c r="P90" s="165" t="s">
        <v>336</v>
      </c>
      <c r="V90" s="165" t="s">
        <v>330</v>
      </c>
      <c r="W90" s="196">
        <v>562540.51844262378</v>
      </c>
    </row>
    <row r="91" spans="1:24" ht="12.75" customHeight="1">
      <c r="A91" s="26" t="s">
        <v>18</v>
      </c>
      <c r="B91" s="26"/>
      <c r="C91" s="26"/>
      <c r="D91" s="138">
        <v>0.02</v>
      </c>
      <c r="E91" s="31" t="s">
        <v>19</v>
      </c>
      <c r="F91" s="139">
        <v>3</v>
      </c>
      <c r="G91" s="26" t="s">
        <v>20</v>
      </c>
      <c r="H91"/>
      <c r="I91" s="45"/>
      <c r="J91" s="44">
        <f>ROUND(J90*(1+D91)^F91,0)</f>
        <v>143863</v>
      </c>
      <c r="N91" s="165" t="s">
        <v>332</v>
      </c>
      <c r="O91">
        <f>PI()*(O86+O89)*(O87+0.8*O86)*O89*O90</f>
        <v>172048.31161001889</v>
      </c>
      <c r="P91" s="165" t="s">
        <v>333</v>
      </c>
      <c r="U91" s="165" t="s">
        <v>311</v>
      </c>
      <c r="V91" s="165" t="s">
        <v>304</v>
      </c>
      <c r="W91" s="196">
        <f>341*W86^0.63316*W87^0.80161</f>
        <v>13446.529747063309</v>
      </c>
    </row>
    <row r="92" spans="1:24" ht="12.75" customHeight="1">
      <c r="A92" s="26" t="s">
        <v>21</v>
      </c>
      <c r="B92" s="26"/>
      <c r="C92" s="26"/>
      <c r="D92" s="137"/>
      <c r="E92" s="31"/>
      <c r="F92" s="31"/>
      <c r="G92" s="26"/>
      <c r="H92" s="45"/>
      <c r="I92" s="45"/>
      <c r="J92" s="44">
        <f>ROUND(J91*D92,0)</f>
        <v>0</v>
      </c>
      <c r="N92" s="165" t="s">
        <v>330</v>
      </c>
      <c r="O92" s="196">
        <v>200000</v>
      </c>
      <c r="P92" s="165" t="s">
        <v>337</v>
      </c>
      <c r="U92" s="165" t="s">
        <v>310</v>
      </c>
      <c r="V92" s="165" t="s">
        <v>309</v>
      </c>
      <c r="W92" s="196">
        <f>468*EXP(0.1482*W86)</f>
        <v>701.38313729230015</v>
      </c>
    </row>
    <row r="93" spans="1:24" ht="12.75" customHeight="1">
      <c r="A93" s="26"/>
      <c r="B93" s="26" t="s">
        <v>22</v>
      </c>
      <c r="C93" s="26"/>
      <c r="D93" s="31"/>
      <c r="E93" s="31"/>
      <c r="F93" s="31"/>
      <c r="G93" s="26"/>
      <c r="H93"/>
      <c r="I93" s="45"/>
      <c r="J93" s="44">
        <f>J91+J92</f>
        <v>143863</v>
      </c>
      <c r="N93" s="165" t="s">
        <v>304</v>
      </c>
      <c r="O93" s="196">
        <f>341*O86^0.63316*O87^0.80161</f>
        <v>60014.746852969103</v>
      </c>
      <c r="V93" s="165" t="s">
        <v>312</v>
      </c>
      <c r="W93">
        <v>14</v>
      </c>
    </row>
    <row r="94" spans="1:24" ht="12.75" customHeight="1">
      <c r="A94" s="26"/>
      <c r="B94" s="26"/>
      <c r="C94" s="26"/>
      <c r="D94" s="31"/>
      <c r="E94" s="31"/>
      <c r="F94" s="31"/>
      <c r="G94" s="26" t="s">
        <v>23</v>
      </c>
      <c r="H94"/>
      <c r="I94" s="45"/>
      <c r="J94" s="44">
        <f>IF(J93&lt;100,ROUND((J93+3),-1),ROUND((J93+30),-2))</f>
        <v>143900</v>
      </c>
      <c r="N94" s="165" t="s">
        <v>324</v>
      </c>
      <c r="O94">
        <f>720/567</f>
        <v>1.2698412698412698</v>
      </c>
      <c r="U94" s="165" t="s">
        <v>315</v>
      </c>
      <c r="V94" s="198" t="s">
        <v>313</v>
      </c>
      <c r="W94">
        <f>2.25/(1.0414^W93)</f>
        <v>1.275077233108763</v>
      </c>
    </row>
    <row r="95" spans="1:24" ht="12.75" customHeight="1">
      <c r="A95" s="26"/>
      <c r="B95" s="26" t="s">
        <v>189</v>
      </c>
      <c r="C95" s="26"/>
      <c r="D95" s="31"/>
      <c r="E95" s="31"/>
      <c r="F95" s="31"/>
      <c r="G95" s="26"/>
      <c r="H95" s="45"/>
      <c r="I95" s="47" t="s">
        <v>128</v>
      </c>
      <c r="J95" s="49">
        <f>H94+J94</f>
        <v>143900</v>
      </c>
      <c r="K95" t="s">
        <v>168</v>
      </c>
      <c r="N95" s="165" t="s">
        <v>325</v>
      </c>
      <c r="O95" s="199">
        <f>(O93+O92)*O94+O88</f>
        <v>8235005.2204809282</v>
      </c>
      <c r="U95" s="165" t="s">
        <v>316</v>
      </c>
      <c r="V95" s="198" t="s">
        <v>314</v>
      </c>
      <c r="W95">
        <v>1</v>
      </c>
      <c r="X95" s="165" t="s">
        <v>317</v>
      </c>
    </row>
    <row r="96" spans="1:24" ht="12.75" customHeight="1">
      <c r="A96" s="26"/>
      <c r="B96" s="26"/>
      <c r="C96" s="26"/>
      <c r="D96" s="31"/>
      <c r="E96" s="31"/>
      <c r="F96" s="31"/>
      <c r="G96" s="26"/>
      <c r="H96" s="45"/>
      <c r="I96" s="45"/>
      <c r="J96" s="45"/>
      <c r="U96" s="165" t="s">
        <v>321</v>
      </c>
      <c r="V96" s="198" t="s">
        <v>322</v>
      </c>
      <c r="W96">
        <f>1.401+0.0724*W86</f>
        <v>1.598652</v>
      </c>
    </row>
    <row r="97" spans="1:24" ht="12.75" customHeight="1">
      <c r="A97" s="26"/>
      <c r="B97" s="26"/>
      <c r="C97" s="26"/>
      <c r="D97" s="31"/>
      <c r="E97" s="31"/>
      <c r="F97" s="31"/>
      <c r="G97" s="26"/>
      <c r="H97" s="45"/>
      <c r="I97" s="45"/>
      <c r="J97" s="45"/>
      <c r="U97" s="165" t="s">
        <v>324</v>
      </c>
      <c r="V97">
        <f>720/567</f>
        <v>1.2698412698412698</v>
      </c>
    </row>
    <row r="98" spans="1:24" ht="20">
      <c r="A98" s="51" t="s">
        <v>24</v>
      </c>
      <c r="O98" s="165" t="s">
        <v>255</v>
      </c>
      <c r="U98" s="165" t="s">
        <v>323</v>
      </c>
      <c r="V98" s="165" t="s">
        <v>318</v>
      </c>
      <c r="W98" s="197">
        <f>W93*W94*W95*W92*W96*V97</f>
        <v>25416.937455240371</v>
      </c>
    </row>
    <row r="99" spans="1:24" ht="12.75" customHeight="1">
      <c r="N99" s="165" t="s">
        <v>252</v>
      </c>
      <c r="O99" s="165" t="s">
        <v>341</v>
      </c>
      <c r="V99" s="165" t="s">
        <v>325</v>
      </c>
      <c r="W99" s="197">
        <f>W98+W90+W91*V97</f>
        <v>605032.41430683341</v>
      </c>
    </row>
    <row r="100" spans="1:24" ht="12.75" customHeight="1">
      <c r="A100" s="13" t="s">
        <v>179</v>
      </c>
      <c r="M100" s="165"/>
      <c r="N100" s="165" t="s">
        <v>264</v>
      </c>
      <c r="O100">
        <v>1000</v>
      </c>
      <c r="P100" s="165" t="s">
        <v>266</v>
      </c>
    </row>
    <row r="101" spans="1:24" ht="12.75" customHeight="1">
      <c r="N101" s="165" t="s">
        <v>326</v>
      </c>
      <c r="O101">
        <v>785</v>
      </c>
      <c r="P101" s="165" t="s">
        <v>276</v>
      </c>
    </row>
    <row r="102" spans="1:24" ht="12.75" customHeight="1">
      <c r="B102" s="3" t="s">
        <v>25</v>
      </c>
      <c r="C102" s="3" t="s">
        <v>26</v>
      </c>
      <c r="D102" s="3" t="s">
        <v>27</v>
      </c>
      <c r="M102" s="165"/>
      <c r="N102" s="165" t="s">
        <v>329</v>
      </c>
      <c r="O102">
        <v>1800</v>
      </c>
      <c r="V102" s="165" t="s">
        <v>303</v>
      </c>
      <c r="W102" s="165" t="s">
        <v>298</v>
      </c>
      <c r="X102" s="165" t="s">
        <v>299</v>
      </c>
    </row>
    <row r="103" spans="1:24" ht="12.75" customHeight="1">
      <c r="A103" s="165"/>
      <c r="B103" s="213"/>
      <c r="C103" s="214"/>
      <c r="D103" s="141"/>
      <c r="E103" t="str">
        <f>"/"&amp;C103</f>
        <v>/</v>
      </c>
      <c r="H103" s="215">
        <f>D103*B103/1000</f>
        <v>0</v>
      </c>
      <c r="I103" s="36" t="s">
        <v>168</v>
      </c>
      <c r="N103" s="165" t="s">
        <v>296</v>
      </c>
      <c r="O103" s="165" t="s">
        <v>301</v>
      </c>
      <c r="V103" s="165" t="s">
        <v>294</v>
      </c>
      <c r="W103">
        <v>9.06</v>
      </c>
      <c r="X103">
        <f>W103*0.3048</f>
        <v>2.7614880000000004</v>
      </c>
    </row>
    <row r="104" spans="1:24" ht="12.75" customHeight="1">
      <c r="B104" s="140"/>
      <c r="C104" s="140"/>
      <c r="D104" s="141"/>
      <c r="E104" t="str">
        <f>"/"&amp;C104</f>
        <v>/</v>
      </c>
      <c r="H104" s="52">
        <f>D104*B104/1000</f>
        <v>0</v>
      </c>
      <c r="I104" s="36" t="s">
        <v>168</v>
      </c>
      <c r="N104" s="165" t="s">
        <v>294</v>
      </c>
      <c r="O104" s="165">
        <v>2.5164040000000001</v>
      </c>
      <c r="V104" s="165" t="s">
        <v>295</v>
      </c>
      <c r="W104">
        <v>42</v>
      </c>
      <c r="X104">
        <f t="shared" ref="X104" si="6">W104*0.3048</f>
        <v>12.801600000000001</v>
      </c>
    </row>
    <row r="105" spans="1:24" ht="12.75" customHeight="1">
      <c r="B105" s="140"/>
      <c r="C105" s="140"/>
      <c r="D105" s="141"/>
      <c r="E105" t="str">
        <f>"/"&amp;C105</f>
        <v>/</v>
      </c>
      <c r="H105" s="52">
        <f>B105*D105/1000</f>
        <v>0</v>
      </c>
      <c r="I105" s="36" t="s">
        <v>168</v>
      </c>
      <c r="N105" s="165" t="s">
        <v>331</v>
      </c>
      <c r="O105" s="165">
        <v>29.527560000000001</v>
      </c>
      <c r="V105" s="165" t="s">
        <v>300</v>
      </c>
      <c r="W105">
        <v>1035</v>
      </c>
    </row>
    <row r="106" spans="1:24" ht="12.75" customHeight="1">
      <c r="B106" s="140"/>
      <c r="C106" s="140"/>
      <c r="D106" s="141"/>
      <c r="E106" t="str">
        <f>"/"&amp;C106</f>
        <v>/</v>
      </c>
      <c r="H106" s="52">
        <f>B106*D106/1000</f>
        <v>0</v>
      </c>
      <c r="I106" s="36" t="s">
        <v>168</v>
      </c>
      <c r="N106" s="165" t="s">
        <v>334</v>
      </c>
      <c r="O106" s="165">
        <v>0.13400000000000001</v>
      </c>
      <c r="V106" s="165" t="s">
        <v>296</v>
      </c>
      <c r="W106" s="165" t="s">
        <v>301</v>
      </c>
    </row>
    <row r="107" spans="1:24" ht="12.75" customHeight="1">
      <c r="F107" t="s">
        <v>28</v>
      </c>
      <c r="H107" s="215">
        <f>SUM(H103:H106)</f>
        <v>0</v>
      </c>
      <c r="I107" s="36" t="s">
        <v>168</v>
      </c>
      <c r="N107" s="165" t="s">
        <v>335</v>
      </c>
      <c r="O107" s="165">
        <v>498.18</v>
      </c>
      <c r="P107" s="165" t="s">
        <v>336</v>
      </c>
      <c r="V107" s="165" t="s">
        <v>330</v>
      </c>
      <c r="W107" s="196">
        <v>642811.44393442583</v>
      </c>
    </row>
    <row r="108" spans="1:24" ht="12.75" customHeight="1">
      <c r="N108" s="165" t="s">
        <v>325</v>
      </c>
      <c r="O108" s="207">
        <v>842000</v>
      </c>
      <c r="P108" s="165" t="s">
        <v>342</v>
      </c>
      <c r="U108" s="165" t="s">
        <v>311</v>
      </c>
      <c r="V108" s="165" t="s">
        <v>304</v>
      </c>
      <c r="W108" s="196">
        <f>341*W103^0.63316*W104^0.80161</f>
        <v>27541.179281630037</v>
      </c>
    </row>
    <row r="109" spans="1:24" ht="12.75" customHeight="1">
      <c r="A109" t="s">
        <v>180</v>
      </c>
      <c r="C109" s="142">
        <v>2.5000000000000001E-2</v>
      </c>
      <c r="D109" t="s">
        <v>29</v>
      </c>
      <c r="H109" s="52">
        <f>J95*C109</f>
        <v>3597.5</v>
      </c>
      <c r="I109" s="36" t="s">
        <v>168</v>
      </c>
      <c r="U109" s="165" t="s">
        <v>310</v>
      </c>
      <c r="V109" s="165" t="s">
        <v>309</v>
      </c>
      <c r="W109" s="196">
        <f>468*EXP(0.1482*W103)</f>
        <v>1792.1302874059706</v>
      </c>
    </row>
    <row r="110" spans="1:24" ht="12.75" customHeight="1">
      <c r="N110" s="165"/>
      <c r="V110" s="165" t="s">
        <v>312</v>
      </c>
      <c r="W110">
        <v>14</v>
      </c>
    </row>
    <row r="111" spans="1:24" ht="12.75" customHeight="1">
      <c r="B111" t="s">
        <v>181</v>
      </c>
      <c r="H111" s="52">
        <f>Spares+INVENTORY</f>
        <v>3597.5</v>
      </c>
      <c r="N111" s="165"/>
      <c r="O111" s="197"/>
      <c r="U111" s="165" t="s">
        <v>315</v>
      </c>
      <c r="V111" s="198" t="s">
        <v>313</v>
      </c>
      <c r="W111">
        <f>2.25/(1.0414^W110)</f>
        <v>1.275077233108763</v>
      </c>
    </row>
    <row r="112" spans="1:24" ht="12.75" customHeight="1">
      <c r="U112" s="165" t="s">
        <v>316</v>
      </c>
      <c r="V112" s="198" t="s">
        <v>314</v>
      </c>
      <c r="W112">
        <v>1</v>
      </c>
      <c r="X112" s="165" t="s">
        <v>317</v>
      </c>
    </row>
    <row r="113" spans="2:23" ht="12.75" customHeight="1" thickBot="1">
      <c r="B113" s="222" t="s">
        <v>177</v>
      </c>
      <c r="C113" s="223"/>
      <c r="U113" s="165" t="s">
        <v>321</v>
      </c>
      <c r="V113" s="198" t="s">
        <v>322</v>
      </c>
      <c r="W113">
        <f>1.401+0.0724*W103</f>
        <v>2.0569440000000001</v>
      </c>
    </row>
    <row r="114" spans="2:23" ht="12.75" customHeight="1" thickTop="1">
      <c r="B114" s="130" t="s">
        <v>130</v>
      </c>
      <c r="C114" s="160">
        <v>1</v>
      </c>
      <c r="U114" s="165" t="s">
        <v>324</v>
      </c>
      <c r="V114">
        <f>720/567</f>
        <v>1.2698412698412698</v>
      </c>
    </row>
    <row r="115" spans="2:23" ht="12.75" customHeight="1">
      <c r="B115" s="131" t="s">
        <v>133</v>
      </c>
      <c r="C115" s="161">
        <v>0.95</v>
      </c>
      <c r="U115" s="165" t="s">
        <v>323</v>
      </c>
      <c r="V115" s="165" t="s">
        <v>318</v>
      </c>
      <c r="W115" s="197">
        <f>W110*W111*W112*W109*W113*V114</f>
        <v>83561.458644051658</v>
      </c>
    </row>
    <row r="116" spans="2:23" ht="12.75" customHeight="1">
      <c r="B116" s="131" t="s">
        <v>134</v>
      </c>
      <c r="C116" s="161">
        <v>1.1000000000000001</v>
      </c>
      <c r="V116" s="165" t="s">
        <v>325</v>
      </c>
      <c r="W116" s="197">
        <f>W115+W107+W108*V114</f>
        <v>761345.82865038863</v>
      </c>
    </row>
    <row r="117" spans="2:23" ht="12.75" customHeight="1">
      <c r="B117" s="131" t="s">
        <v>135</v>
      </c>
      <c r="C117" s="161">
        <v>1.1499999999999999</v>
      </c>
    </row>
    <row r="118" spans="2:23" ht="12.75" customHeight="1">
      <c r="B118" s="131" t="s">
        <v>136</v>
      </c>
      <c r="C118" s="161">
        <v>1.25</v>
      </c>
    </row>
    <row r="119" spans="2:23" ht="12.75" customHeight="1">
      <c r="B119" s="131" t="s">
        <v>137</v>
      </c>
      <c r="C119" s="161">
        <v>1.2</v>
      </c>
    </row>
    <row r="120" spans="2:23" ht="12.75" customHeight="1">
      <c r="B120" s="131" t="s">
        <v>138</v>
      </c>
      <c r="C120" s="161">
        <v>0.95</v>
      </c>
    </row>
    <row r="121" spans="2:23" ht="12.75" customHeight="1">
      <c r="B121" s="131" t="s">
        <v>139</v>
      </c>
      <c r="C121" s="161">
        <v>1.1499999999999999</v>
      </c>
    </row>
    <row r="122" spans="2:23" ht="12.75" customHeight="1">
      <c r="B122" s="131" t="s">
        <v>140</v>
      </c>
      <c r="C122" s="161">
        <v>1</v>
      </c>
    </row>
    <row r="123" spans="2:23" ht="12.75" customHeight="1">
      <c r="B123" s="131" t="s">
        <v>141</v>
      </c>
      <c r="C123" s="161">
        <v>0.85</v>
      </c>
    </row>
    <row r="124" spans="2:23" ht="12.75" customHeight="1"/>
    <row r="125" spans="2:23" ht="14" thickBot="1">
      <c r="B125" s="164" t="s">
        <v>204</v>
      </c>
      <c r="C125" s="164" t="s">
        <v>205</v>
      </c>
      <c r="D125" s="164" t="s">
        <v>206</v>
      </c>
    </row>
    <row r="126" spans="2:23" ht="14" thickTop="1">
      <c r="B126" s="162" t="s">
        <v>202</v>
      </c>
      <c r="C126" s="163">
        <v>0.15</v>
      </c>
      <c r="D126" s="163">
        <v>0.2</v>
      </c>
    </row>
    <row r="127" spans="2:23">
      <c r="B127" s="159" t="s">
        <v>203</v>
      </c>
      <c r="C127" s="163">
        <v>0.05</v>
      </c>
      <c r="D127" s="163">
        <v>0.05</v>
      </c>
    </row>
    <row r="129" spans="2:5" ht="14" thickBot="1">
      <c r="B129" s="169" t="s">
        <v>211</v>
      </c>
      <c r="C129" s="165" t="s">
        <v>232</v>
      </c>
      <c r="E129" s="165"/>
    </row>
    <row r="130" spans="2:5" ht="14" thickTop="1">
      <c r="B130" s="167" t="s">
        <v>212</v>
      </c>
      <c r="C130">
        <v>2</v>
      </c>
    </row>
    <row r="131" spans="2:5">
      <c r="B131" s="168" t="s">
        <v>213</v>
      </c>
      <c r="C131">
        <v>3</v>
      </c>
    </row>
    <row r="132" spans="2:5">
      <c r="B132" s="168" t="s">
        <v>214</v>
      </c>
      <c r="C132">
        <v>4</v>
      </c>
    </row>
    <row r="133" spans="2:5" ht="14.25" customHeight="1"/>
    <row r="134" spans="2:5">
      <c r="B134" s="170" t="s">
        <v>230</v>
      </c>
      <c r="C134" s="172" t="s">
        <v>212</v>
      </c>
      <c r="D134" s="172" t="s">
        <v>213</v>
      </c>
      <c r="E134" s="172" t="s">
        <v>214</v>
      </c>
    </row>
    <row r="135" spans="2:5">
      <c r="B135" s="171" t="s">
        <v>215</v>
      </c>
      <c r="C135">
        <v>100</v>
      </c>
      <c r="D135">
        <v>100</v>
      </c>
      <c r="E135">
        <v>100</v>
      </c>
    </row>
    <row r="136" spans="2:5">
      <c r="B136" s="171" t="s">
        <v>216</v>
      </c>
      <c r="C136">
        <v>45</v>
      </c>
      <c r="D136">
        <v>39</v>
      </c>
      <c r="E136">
        <v>47</v>
      </c>
    </row>
    <row r="137" spans="2:5">
      <c r="B137" s="171" t="s">
        <v>217</v>
      </c>
      <c r="C137">
        <v>18</v>
      </c>
      <c r="D137">
        <v>26</v>
      </c>
      <c r="E137">
        <v>36</v>
      </c>
    </row>
    <row r="138" spans="2:5">
      <c r="B138" s="171" t="s">
        <v>218</v>
      </c>
      <c r="C138">
        <v>16</v>
      </c>
      <c r="D138">
        <v>31</v>
      </c>
      <c r="E138">
        <v>68</v>
      </c>
    </row>
    <row r="139" spans="2:5">
      <c r="B139" s="171" t="s">
        <v>219</v>
      </c>
      <c r="C139">
        <v>10</v>
      </c>
      <c r="D139">
        <v>10</v>
      </c>
      <c r="E139">
        <v>11</v>
      </c>
    </row>
    <row r="140" spans="2:5">
      <c r="B140" s="171" t="s">
        <v>220</v>
      </c>
      <c r="C140">
        <v>25</v>
      </c>
      <c r="D140">
        <v>29</v>
      </c>
      <c r="E140">
        <v>18</v>
      </c>
    </row>
    <row r="141" spans="2:5">
      <c r="B141" s="171" t="s">
        <v>221</v>
      </c>
      <c r="C141">
        <v>15</v>
      </c>
      <c r="D141">
        <v>12</v>
      </c>
      <c r="E141">
        <v>10</v>
      </c>
    </row>
    <row r="142" spans="2:5">
      <c r="B142" s="171" t="s">
        <v>222</v>
      </c>
      <c r="C142">
        <v>40</v>
      </c>
      <c r="D142">
        <v>55</v>
      </c>
      <c r="E142">
        <v>70</v>
      </c>
    </row>
    <row r="143" spans="2:5">
      <c r="B143" s="171" t="s">
        <v>223</v>
      </c>
      <c r="C143">
        <v>269</v>
      </c>
      <c r="D143">
        <v>302</v>
      </c>
      <c r="E143">
        <v>360</v>
      </c>
    </row>
    <row r="144" spans="2:5">
      <c r="B144" s="171" t="s">
        <v>224</v>
      </c>
      <c r="C144">
        <v>33</v>
      </c>
      <c r="D144">
        <v>32</v>
      </c>
      <c r="E144">
        <v>33</v>
      </c>
    </row>
    <row r="145" spans="2:5">
      <c r="B145" s="171" t="s">
        <v>225</v>
      </c>
      <c r="C145">
        <v>39</v>
      </c>
      <c r="D145">
        <v>34</v>
      </c>
      <c r="E145">
        <v>41</v>
      </c>
    </row>
    <row r="146" spans="2:5">
      <c r="B146" s="171" t="s">
        <v>226</v>
      </c>
      <c r="C146">
        <v>341</v>
      </c>
      <c r="D146">
        <v>368</v>
      </c>
      <c r="E146">
        <v>434</v>
      </c>
    </row>
    <row r="147" spans="2:5">
      <c r="B147" s="171" t="s">
        <v>227</v>
      </c>
      <c r="C147">
        <v>21</v>
      </c>
      <c r="D147">
        <v>23</v>
      </c>
      <c r="E147">
        <v>26</v>
      </c>
    </row>
    <row r="148" spans="2:5">
      <c r="B148" s="171" t="s">
        <v>13</v>
      </c>
      <c r="C148">
        <v>35</v>
      </c>
      <c r="D148">
        <v>37</v>
      </c>
      <c r="E148">
        <v>44</v>
      </c>
    </row>
    <row r="149" spans="2:5">
      <c r="B149" s="171" t="s">
        <v>228</v>
      </c>
      <c r="C149">
        <v>397</v>
      </c>
      <c r="D149">
        <v>428</v>
      </c>
      <c r="E149">
        <v>504</v>
      </c>
    </row>
  </sheetData>
  <mergeCells count="5">
    <mergeCell ref="H9:I9"/>
    <mergeCell ref="B113:C113"/>
    <mergeCell ref="B5:E5"/>
    <mergeCell ref="B6:E6"/>
    <mergeCell ref="A1:J1"/>
  </mergeCells>
  <phoneticPr fontId="16" type="noConversion"/>
  <dataValidations disablePrompts="1" count="4">
    <dataValidation type="list" allowBlank="1" showInputMessage="1" showErrorMessage="1" sqref="C7" xr:uid="{00000000-0002-0000-0000-000000000000}">
      <formula1>"Lb, Ton, kg, Tonne, Gal, MCF,Component"</formula1>
    </dataValidation>
    <dataValidation type="list" allowBlank="1" showInputMessage="1" showErrorMessage="1" sqref="H9" xr:uid="{00000000-0002-0000-0000-000001000000}">
      <formula1>Sites</formula1>
    </dataValidation>
    <dataValidation type="list" allowBlank="1" showInputMessage="1" showErrorMessage="1" sqref="B78" xr:uid="{00000000-0002-0000-0000-000002000000}">
      <formula1>$B$126:$B$127</formula1>
    </dataValidation>
    <dataValidation type="list" allowBlank="1" showInputMessage="1" showErrorMessage="1" sqref="C28" xr:uid="{00000000-0002-0000-0000-000003000000}">
      <formula1>$B$130:$B$132</formula1>
    </dataValidation>
  </dataValidations>
  <printOptions horizontalCentered="1" verticalCentered="1" gridLines="1"/>
  <pageMargins left="0.75" right="0.75" top="0.5" bottom="0.5" header="0" footer="0"/>
  <pageSetup scale="46" orientation="portrait" horizont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transitionEvaluation="1" codeName="Sheet2">
    <pageSetUpPr fitToPage="1"/>
  </sheetPr>
  <dimension ref="A1:T82"/>
  <sheetViews>
    <sheetView showZeros="0" topLeftCell="A42" zoomScale="107" zoomScaleNormal="70" workbookViewId="0">
      <selection activeCell="E38" sqref="E38"/>
    </sheetView>
  </sheetViews>
  <sheetFormatPr baseColWidth="10" defaultColWidth="8.83203125" defaultRowHeight="13"/>
  <cols>
    <col min="1" max="1" width="5.83203125" customWidth="1"/>
    <col min="3" max="3" width="10.5" customWidth="1"/>
    <col min="4" max="4" width="11.1640625" customWidth="1"/>
    <col min="5" max="5" width="10.5" style="3" customWidth="1"/>
    <col min="6" max="6" width="15.5" style="3" bestFit="1" customWidth="1"/>
    <col min="8" max="8" width="14" style="3" customWidth="1"/>
    <col min="9" max="9" width="13.6640625" customWidth="1"/>
    <col min="10" max="10" width="10.33203125" customWidth="1"/>
    <col min="11" max="11" width="14.1640625" customWidth="1"/>
    <col min="12" max="12" width="25" customWidth="1"/>
    <col min="13" max="13" width="12.33203125" bestFit="1" customWidth="1"/>
    <col min="14" max="14" width="13.6640625" customWidth="1"/>
    <col min="15" max="15" width="12.1640625" customWidth="1"/>
    <col min="16" max="16" width="13.5" customWidth="1"/>
  </cols>
  <sheetData>
    <row r="1" spans="1:20" ht="20">
      <c r="A1" s="2" t="s">
        <v>30</v>
      </c>
      <c r="B1" s="2"/>
      <c r="C1" s="2"/>
      <c r="D1" s="2"/>
      <c r="E1" s="2"/>
      <c r="F1" s="2"/>
      <c r="G1" s="2"/>
      <c r="H1" s="2"/>
      <c r="I1" s="2"/>
    </row>
    <row r="2" spans="1:20" ht="45.5" customHeight="1">
      <c r="A2" s="2" t="s">
        <v>31</v>
      </c>
      <c r="B2" s="2"/>
      <c r="C2" s="2"/>
      <c r="D2" s="2"/>
      <c r="E2" s="2"/>
      <c r="F2" s="2"/>
      <c r="G2" s="2"/>
      <c r="H2" s="2"/>
      <c r="I2" s="2"/>
      <c r="K2" s="231"/>
      <c r="L2" s="231"/>
      <c r="M2" s="231"/>
      <c r="N2" s="231"/>
      <c r="O2" s="231"/>
      <c r="P2" s="231"/>
      <c r="Q2" s="231"/>
    </row>
    <row r="3" spans="1:20" ht="20">
      <c r="A3" s="2"/>
      <c r="B3" s="2"/>
      <c r="C3" s="2"/>
      <c r="D3" s="2"/>
      <c r="E3" s="2"/>
      <c r="F3" s="2"/>
      <c r="G3" s="2"/>
      <c r="H3" s="2"/>
      <c r="I3" s="2"/>
      <c r="L3" s="209"/>
      <c r="M3" s="209"/>
      <c r="N3" s="211"/>
      <c r="O3" s="185"/>
    </row>
    <row r="4" spans="1:20" s="13" customFormat="1" ht="12.75" customHeight="1">
      <c r="A4" s="12"/>
      <c r="B4" s="12"/>
      <c r="C4" s="14"/>
      <c r="D4" s="10" t="s">
        <v>32</v>
      </c>
      <c r="E4" s="12"/>
      <c r="F4" s="15"/>
      <c r="G4" s="10" t="s">
        <v>33</v>
      </c>
      <c r="H4" s="12"/>
      <c r="I4" s="12"/>
      <c r="L4" s="209"/>
      <c r="M4" s="209"/>
      <c r="N4" s="211"/>
      <c r="O4" s="81"/>
    </row>
    <row r="5" spans="1:20" ht="14">
      <c r="L5" s="209"/>
      <c r="M5" s="209"/>
      <c r="N5" s="211"/>
      <c r="O5" s="81"/>
    </row>
    <row r="6" spans="1:20" ht="14">
      <c r="A6" t="s">
        <v>34</v>
      </c>
      <c r="C6" s="228" t="str">
        <f>Product</f>
        <v xml:space="preserve">Vinyl Chloride </v>
      </c>
      <c r="D6" s="229"/>
      <c r="E6" s="229"/>
      <c r="F6" s="230"/>
      <c r="L6" s="209"/>
      <c r="M6" s="209"/>
      <c r="N6" s="211"/>
      <c r="O6" s="81"/>
    </row>
    <row r="7" spans="1:20" ht="14">
      <c r="L7" s="209"/>
      <c r="M7" s="209"/>
      <c r="N7" s="211"/>
      <c r="O7" s="187"/>
    </row>
    <row r="8" spans="1:20" ht="14">
      <c r="A8" t="s">
        <v>35</v>
      </c>
      <c r="D8" s="143">
        <f>AnnCap</f>
        <v>141095872</v>
      </c>
      <c r="E8" s="15" t="str">
        <f>Units&amp;" per Year"</f>
        <v>kg per Year</v>
      </c>
      <c r="L8" s="209"/>
      <c r="M8" s="209"/>
      <c r="N8" s="211"/>
      <c r="O8" s="81"/>
    </row>
    <row r="9" spans="1:20" ht="14">
      <c r="L9" s="209"/>
      <c r="M9" s="209"/>
      <c r="N9" s="211"/>
      <c r="O9" s="81"/>
    </row>
    <row r="10" spans="1:20" ht="14">
      <c r="A10" s="5" t="s">
        <v>36</v>
      </c>
      <c r="D10" s="3" t="s">
        <v>37</v>
      </c>
      <c r="E10" s="3" t="s">
        <v>38</v>
      </c>
      <c r="F10" s="3" t="s">
        <v>39</v>
      </c>
      <c r="H10" s="6" t="str">
        <f>"COST PER "&amp; Units</f>
        <v>COST PER kg</v>
      </c>
      <c r="I10" s="1"/>
      <c r="L10" s="209"/>
      <c r="M10" s="209"/>
      <c r="N10" s="88"/>
      <c r="O10" s="201" t="s">
        <v>345</v>
      </c>
      <c r="P10" s="202" t="s">
        <v>26</v>
      </c>
      <c r="Q10" s="185" t="s">
        <v>378</v>
      </c>
      <c r="R10" s="185"/>
      <c r="S10" s="81"/>
      <c r="T10" s="185"/>
    </row>
    <row r="11" spans="1:20">
      <c r="D11" t="s">
        <v>40</v>
      </c>
      <c r="E11" s="3" t="s">
        <v>41</v>
      </c>
      <c r="F11" s="3" t="s">
        <v>42</v>
      </c>
      <c r="H11" s="6" t="s">
        <v>43</v>
      </c>
      <c r="I11" s="1"/>
      <c r="N11" s="203" t="s">
        <v>346</v>
      </c>
      <c r="O11" s="204">
        <v>17636.984</v>
      </c>
      <c r="P11" s="203" t="s">
        <v>245</v>
      </c>
      <c r="Q11" s="81">
        <f t="shared" ref="Q11:Q19" si="0">O11/$O$11</f>
        <v>1</v>
      </c>
    </row>
    <row r="12" spans="1:20">
      <c r="E12" s="3" t="s">
        <v>44</v>
      </c>
      <c r="F12" s="3" t="str">
        <f>Units&amp;" PRODUCT"</f>
        <v>kg PRODUCT</v>
      </c>
      <c r="H12" s="1"/>
      <c r="I12" s="1"/>
      <c r="N12" s="185" t="s">
        <v>343</v>
      </c>
      <c r="O12" s="81">
        <v>9959</v>
      </c>
      <c r="P12" s="185" t="s">
        <v>245</v>
      </c>
      <c r="Q12" s="81">
        <f t="shared" si="0"/>
        <v>0.56466570474861233</v>
      </c>
    </row>
    <row r="13" spans="1:20" ht="15">
      <c r="C13" s="209" t="s">
        <v>343</v>
      </c>
      <c r="D13" s="184" t="s">
        <v>239</v>
      </c>
      <c r="E13" s="145">
        <v>0.91</v>
      </c>
      <c r="F13" s="146">
        <v>0.56466570474861233</v>
      </c>
      <c r="H13" s="66">
        <f t="shared" ref="H13:H20" si="1">E13*F13</f>
        <v>0.5138457913212372</v>
      </c>
      <c r="I13" s="208" t="s">
        <v>372</v>
      </c>
      <c r="J13" s="165"/>
      <c r="K13" s="189"/>
      <c r="N13" s="185" t="s">
        <v>344</v>
      </c>
      <c r="O13" s="81">
        <f>2.517*10^4</f>
        <v>25170</v>
      </c>
      <c r="P13" s="185" t="s">
        <v>245</v>
      </c>
      <c r="Q13" s="81">
        <f t="shared" si="0"/>
        <v>1.4271147493244876</v>
      </c>
    </row>
    <row r="14" spans="1:20" ht="15">
      <c r="C14" s="209" t="s">
        <v>344</v>
      </c>
      <c r="D14" s="184" t="s">
        <v>239</v>
      </c>
      <c r="E14" s="186">
        <v>0.1</v>
      </c>
      <c r="F14" s="188">
        <v>1.4271147493244876</v>
      </c>
      <c r="H14" s="66">
        <f t="shared" si="1"/>
        <v>0.14271147493244876</v>
      </c>
      <c r="I14" s="67"/>
      <c r="N14" s="165" t="s">
        <v>241</v>
      </c>
      <c r="O14">
        <v>5664</v>
      </c>
      <c r="P14" s="165" t="s">
        <v>245</v>
      </c>
      <c r="Q14" s="81">
        <f t="shared" si="0"/>
        <v>0.32114334287540319</v>
      </c>
    </row>
    <row r="15" spans="1:20" ht="15">
      <c r="C15" s="209" t="s">
        <v>241</v>
      </c>
      <c r="D15" s="184" t="s">
        <v>239</v>
      </c>
      <c r="E15" s="145">
        <v>7.0000000000000007E-2</v>
      </c>
      <c r="F15" s="146">
        <v>0.32114334287540319</v>
      </c>
      <c r="H15" s="66">
        <f>E15*F15</f>
        <v>2.2480034001278227E-2</v>
      </c>
      <c r="I15" s="67"/>
      <c r="N15" s="165" t="s">
        <v>347</v>
      </c>
      <c r="O15" s="81">
        <v>2968.16</v>
      </c>
      <c r="P15" s="185" t="s">
        <v>352</v>
      </c>
      <c r="Q15" s="81">
        <f t="shared" si="0"/>
        <v>0.16829181225089276</v>
      </c>
    </row>
    <row r="16" spans="1:20" ht="14">
      <c r="C16" s="209"/>
      <c r="D16" s="184"/>
      <c r="E16" s="145"/>
      <c r="F16" s="146"/>
      <c r="H16" s="66">
        <f>E16*F16</f>
        <v>0</v>
      </c>
      <c r="I16" s="67"/>
      <c r="N16" s="165" t="s">
        <v>348</v>
      </c>
      <c r="O16">
        <v>128645.88</v>
      </c>
      <c r="P16" s="185" t="s">
        <v>352</v>
      </c>
      <c r="Q16" s="81">
        <f t="shared" si="0"/>
        <v>7.294097448860871</v>
      </c>
    </row>
    <row r="17" spans="1:17" ht="14">
      <c r="B17" s="209"/>
      <c r="C17" s="165"/>
      <c r="D17" s="184"/>
      <c r="E17" s="186"/>
      <c r="F17" s="146"/>
      <c r="H17" s="66">
        <f t="shared" si="1"/>
        <v>0</v>
      </c>
      <c r="I17" s="67"/>
      <c r="N17" s="165" t="s">
        <v>349</v>
      </c>
      <c r="O17">
        <v>3953.28</v>
      </c>
      <c r="P17" s="185" t="s">
        <v>352</v>
      </c>
      <c r="Q17" s="81">
        <f t="shared" si="0"/>
        <v>0.22414716711201871</v>
      </c>
    </row>
    <row r="18" spans="1:17" ht="14">
      <c r="B18" s="209"/>
      <c r="D18" s="184"/>
      <c r="E18" s="186"/>
      <c r="F18" s="188"/>
      <c r="H18" s="66">
        <f t="shared" si="1"/>
        <v>0</v>
      </c>
      <c r="I18" s="67"/>
      <c r="N18" s="165" t="s">
        <v>350</v>
      </c>
      <c r="O18">
        <v>4611.83</v>
      </c>
      <c r="P18" s="185" t="s">
        <v>352</v>
      </c>
      <c r="Q18" s="81">
        <f t="shared" si="0"/>
        <v>0.261486317615302</v>
      </c>
    </row>
    <row r="19" spans="1:17" ht="14">
      <c r="B19" s="209"/>
      <c r="C19" s="165"/>
      <c r="D19" s="184"/>
      <c r="E19" s="145"/>
      <c r="F19" s="146"/>
      <c r="H19" s="66">
        <f t="shared" si="1"/>
        <v>0</v>
      </c>
      <c r="I19" s="67"/>
      <c r="N19" s="165" t="s">
        <v>351</v>
      </c>
      <c r="O19">
        <v>716.37</v>
      </c>
      <c r="P19" s="185" t="s">
        <v>352</v>
      </c>
      <c r="Q19" s="81">
        <f t="shared" si="0"/>
        <v>4.0617488795136401E-2</v>
      </c>
    </row>
    <row r="20" spans="1:17" ht="14">
      <c r="B20" s="209"/>
      <c r="D20" s="184"/>
      <c r="E20" s="186"/>
      <c r="F20" s="188"/>
      <c r="H20" s="66">
        <f t="shared" si="1"/>
        <v>0</v>
      </c>
      <c r="I20" s="67"/>
    </row>
    <row r="21" spans="1:17">
      <c r="A21" t="s">
        <v>45</v>
      </c>
      <c r="E21"/>
      <c r="F21"/>
      <c r="H21" s="68"/>
      <c r="I21" s="66">
        <f>SUM(H13:H20)</f>
        <v>0.67903730025496412</v>
      </c>
      <c r="K21" s="81"/>
      <c r="L21" s="81"/>
      <c r="M21" s="81"/>
      <c r="N21" s="165" t="s">
        <v>247</v>
      </c>
    </row>
    <row r="22" spans="1:17" ht="14">
      <c r="H22" s="68"/>
      <c r="I22" s="67"/>
      <c r="K22" s="81"/>
      <c r="L22" s="185"/>
      <c r="M22" s="210"/>
      <c r="N22" s="165" t="s">
        <v>277</v>
      </c>
      <c r="O22">
        <v>49.6</v>
      </c>
      <c r="P22" s="165" t="s">
        <v>373</v>
      </c>
    </row>
    <row r="23" spans="1:17" ht="14">
      <c r="A23" s="5" t="s">
        <v>46</v>
      </c>
      <c r="H23" s="68"/>
      <c r="I23" s="67"/>
      <c r="K23" s="81"/>
      <c r="L23" s="81"/>
      <c r="M23" s="209"/>
      <c r="N23" s="165" t="s">
        <v>375</v>
      </c>
      <c r="O23">
        <f>O22*8000</f>
        <v>396800</v>
      </c>
      <c r="P23" s="165" t="s">
        <v>49</v>
      </c>
    </row>
    <row r="24" spans="1:17" ht="14">
      <c r="B24" s="165" t="s">
        <v>347</v>
      </c>
      <c r="D24" s="144" t="s">
        <v>47</v>
      </c>
      <c r="E24" s="144">
        <v>7.1700000000000002E-3</v>
      </c>
      <c r="F24" s="148">
        <v>0.16829181225089276</v>
      </c>
      <c r="H24" s="66">
        <f t="shared" ref="H24:H29" si="2">E24*F24</f>
        <v>1.2066522938389012E-3</v>
      </c>
      <c r="I24" s="67"/>
      <c r="K24" s="81"/>
      <c r="L24" s="187"/>
      <c r="M24" s="209"/>
      <c r="N24" s="165" t="s">
        <v>376</v>
      </c>
      <c r="O24">
        <f>O23*E29</f>
        <v>23808</v>
      </c>
    </row>
    <row r="25" spans="1:17" ht="14">
      <c r="B25" s="165" t="s">
        <v>348</v>
      </c>
      <c r="D25" s="144" t="s">
        <v>47</v>
      </c>
      <c r="E25" s="144">
        <v>0.6</v>
      </c>
      <c r="F25" s="148">
        <f>O56/O11</f>
        <v>3.0452856848994137E-3</v>
      </c>
      <c r="H25" s="66">
        <f t="shared" si="2"/>
        <v>1.827171410939648E-3</v>
      </c>
      <c r="I25" s="67"/>
      <c r="K25" s="81"/>
      <c r="L25" s="81"/>
      <c r="M25" s="209"/>
      <c r="N25" s="165" t="s">
        <v>377</v>
      </c>
      <c r="O25">
        <f>O24/O11</f>
        <v>1.349890661577966</v>
      </c>
    </row>
    <row r="26" spans="1:17" ht="14">
      <c r="B26" s="165" t="s">
        <v>349</v>
      </c>
      <c r="D26" s="144" t="s">
        <v>48</v>
      </c>
      <c r="E26" s="144">
        <v>18.239999999999998</v>
      </c>
      <c r="F26" s="148">
        <f>O47/O11</f>
        <v>9.358144226926781E-5</v>
      </c>
      <c r="H26" s="66">
        <f t="shared" si="2"/>
        <v>1.7069255069914447E-3</v>
      </c>
      <c r="I26" s="67"/>
      <c r="K26" s="81"/>
      <c r="L26" s="185"/>
      <c r="M26" s="209"/>
    </row>
    <row r="27" spans="1:17">
      <c r="B27" s="165" t="s">
        <v>350</v>
      </c>
      <c r="D27" s="144" t="s">
        <v>48</v>
      </c>
      <c r="E27" s="144">
        <v>4.9799999999999997E-2</v>
      </c>
      <c r="F27" s="148">
        <v>0.261486317615302</v>
      </c>
      <c r="H27" s="66">
        <f t="shared" si="2"/>
        <v>1.3022018617242039E-2</v>
      </c>
      <c r="I27" s="67"/>
      <c r="K27" s="81"/>
      <c r="L27" s="81"/>
      <c r="M27" s="88"/>
      <c r="N27" s="165" t="s">
        <v>379</v>
      </c>
    </row>
    <row r="28" spans="1:17">
      <c r="B28" s="165" t="s">
        <v>351</v>
      </c>
      <c r="D28" s="184" t="s">
        <v>48</v>
      </c>
      <c r="E28" s="144">
        <v>0.3</v>
      </c>
      <c r="F28" s="148">
        <v>4.0617488795136401E-2</v>
      </c>
      <c r="H28" s="66">
        <f t="shared" si="2"/>
        <v>1.218524663854092E-2</v>
      </c>
      <c r="I28" s="67"/>
      <c r="K28" s="81"/>
      <c r="N28" s="165" t="s">
        <v>389</v>
      </c>
      <c r="O28">
        <v>1027</v>
      </c>
      <c r="P28" s="165" t="s">
        <v>380</v>
      </c>
      <c r="Q28" t="s">
        <v>374</v>
      </c>
    </row>
    <row r="29" spans="1:17">
      <c r="B29" s="165" t="s">
        <v>240</v>
      </c>
      <c r="D29" s="144" t="s">
        <v>49</v>
      </c>
      <c r="E29" s="144">
        <v>0.06</v>
      </c>
      <c r="F29" s="148">
        <v>1.3499000000000001</v>
      </c>
      <c r="H29" s="66">
        <f t="shared" si="2"/>
        <v>8.0993999999999997E-2</v>
      </c>
      <c r="I29" s="67"/>
      <c r="K29" s="81"/>
      <c r="M29" s="88"/>
      <c r="N29" s="165" t="s">
        <v>381</v>
      </c>
      <c r="O29">
        <v>38</v>
      </c>
      <c r="P29" s="165" t="s">
        <v>390</v>
      </c>
    </row>
    <row r="30" spans="1:17">
      <c r="B30" s="165" t="s">
        <v>353</v>
      </c>
      <c r="D30" s="184" t="s">
        <v>239</v>
      </c>
      <c r="E30" s="144">
        <v>0.33</v>
      </c>
      <c r="F30" s="148">
        <f>O40/O11</f>
        <v>0.50652651269627491</v>
      </c>
      <c r="H30" s="66">
        <f>E30*F30</f>
        <v>0.16715374918977072</v>
      </c>
      <c r="I30" s="67"/>
      <c r="K30" s="81"/>
      <c r="M30" s="88"/>
      <c r="N30" s="165" t="s">
        <v>381</v>
      </c>
      <c r="O30" s="200">
        <v>38000</v>
      </c>
      <c r="P30" s="165" t="s">
        <v>387</v>
      </c>
    </row>
    <row r="31" spans="1:17">
      <c r="B31" s="165"/>
      <c r="D31" s="184"/>
      <c r="E31" s="144"/>
      <c r="F31" s="148"/>
      <c r="H31" s="66">
        <f>E31*F31</f>
        <v>0</v>
      </c>
      <c r="I31" s="67"/>
      <c r="K31" s="81"/>
      <c r="M31" s="88"/>
      <c r="N31" s="165" t="s">
        <v>277</v>
      </c>
      <c r="O31" s="200">
        <f>1.211*10^8</f>
        <v>121100000.00000001</v>
      </c>
      <c r="P31" s="165" t="s">
        <v>386</v>
      </c>
      <c r="Q31" s="81"/>
    </row>
    <row r="32" spans="1:17">
      <c r="D32" s="184"/>
      <c r="E32" s="144"/>
      <c r="F32" s="144"/>
      <c r="H32" s="66">
        <f>E32*F32</f>
        <v>0</v>
      </c>
      <c r="I32" s="67"/>
      <c r="K32" s="81"/>
      <c r="L32" s="127"/>
      <c r="M32" s="88"/>
      <c r="N32" s="165" t="s">
        <v>388</v>
      </c>
      <c r="O32" s="205">
        <f>O31/O11</f>
        <v>6866.2533231305315</v>
      </c>
      <c r="P32" s="165" t="s">
        <v>276</v>
      </c>
    </row>
    <row r="33" spans="1:20">
      <c r="A33" t="s">
        <v>50</v>
      </c>
      <c r="H33" s="68"/>
      <c r="I33" s="66">
        <f>SUM(H24:H32)</f>
        <v>0.27809576365732369</v>
      </c>
      <c r="K33" s="81"/>
      <c r="L33" s="81"/>
      <c r="M33" s="81"/>
      <c r="N33" s="165" t="s">
        <v>392</v>
      </c>
      <c r="O33" s="205">
        <f>O30*E29</f>
        <v>2280</v>
      </c>
      <c r="P33" s="165"/>
    </row>
    <row r="34" spans="1:20">
      <c r="H34" s="68"/>
      <c r="I34" s="67"/>
      <c r="K34" s="81"/>
      <c r="L34" s="81"/>
      <c r="M34" s="81"/>
    </row>
    <row r="35" spans="1:20">
      <c r="A35" s="5" t="s">
        <v>51</v>
      </c>
      <c r="H35" s="68"/>
      <c r="I35" s="67"/>
      <c r="K35" s="81"/>
      <c r="L35" s="81"/>
      <c r="M35" s="81"/>
      <c r="N35" s="165" t="s">
        <v>391</v>
      </c>
    </row>
    <row r="36" spans="1:20">
      <c r="B36" t="s">
        <v>52</v>
      </c>
      <c r="D36" s="144"/>
      <c r="E36" s="144"/>
      <c r="F36" s="144"/>
      <c r="H36" s="66">
        <f>E36*F36</f>
        <v>0</v>
      </c>
      <c r="I36" s="67"/>
      <c r="K36" s="81"/>
      <c r="L36" s="81"/>
      <c r="M36" s="81"/>
      <c r="N36" s="165" t="s">
        <v>393</v>
      </c>
      <c r="O36">
        <v>5365</v>
      </c>
      <c r="P36" s="165" t="s">
        <v>245</v>
      </c>
    </row>
    <row r="37" spans="1:20">
      <c r="B37" t="s">
        <v>53</v>
      </c>
      <c r="D37" s="147"/>
      <c r="E37" s="144"/>
      <c r="F37" s="144"/>
      <c r="H37" s="66">
        <f>E37*F37</f>
        <v>0</v>
      </c>
      <c r="I37" s="67"/>
      <c r="K37" s="81"/>
      <c r="L37" s="81"/>
      <c r="M37" s="81"/>
      <c r="N37" s="165" t="s">
        <v>394</v>
      </c>
      <c r="O37">
        <v>189.8</v>
      </c>
      <c r="P37" s="165" t="s">
        <v>245</v>
      </c>
    </row>
    <row r="38" spans="1:20">
      <c r="B38" t="s">
        <v>54</v>
      </c>
      <c r="D38" s="147"/>
      <c r="E38" s="144"/>
      <c r="F38" s="144"/>
      <c r="H38" s="66">
        <f>E38*F38</f>
        <v>0</v>
      </c>
      <c r="I38" s="67"/>
      <c r="N38" s="165" t="s">
        <v>395</v>
      </c>
      <c r="O38">
        <v>3096</v>
      </c>
      <c r="P38" s="165" t="s">
        <v>245</v>
      </c>
    </row>
    <row r="39" spans="1:20">
      <c r="B39" t="s">
        <v>55</v>
      </c>
      <c r="D39" s="147"/>
      <c r="E39" s="144"/>
      <c r="F39" s="144"/>
      <c r="H39" s="66">
        <f>E39*F39</f>
        <v>0</v>
      </c>
      <c r="I39" s="67"/>
      <c r="N39" s="165" t="s">
        <v>396</v>
      </c>
      <c r="O39">
        <v>282.8</v>
      </c>
      <c r="P39" s="165" t="s">
        <v>245</v>
      </c>
    </row>
    <row r="40" spans="1:20">
      <c r="A40" t="s">
        <v>56</v>
      </c>
      <c r="H40" s="69"/>
      <c r="I40" s="66">
        <f>SUM(H36:H39)</f>
        <v>0</v>
      </c>
      <c r="N40" s="165"/>
      <c r="O40">
        <f>SUM(O36:O39)</f>
        <v>8933.5999999999985</v>
      </c>
      <c r="P40" s="165" t="s">
        <v>245</v>
      </c>
    </row>
    <row r="41" spans="1:20">
      <c r="H41" s="68"/>
      <c r="I41" s="69"/>
    </row>
    <row r="42" spans="1:20">
      <c r="A42" t="s">
        <v>57</v>
      </c>
      <c r="H42" s="68"/>
      <c r="I42" s="148">
        <v>0</v>
      </c>
      <c r="N42" s="232" t="s">
        <v>401</v>
      </c>
      <c r="O42" s="233"/>
      <c r="P42" s="233"/>
      <c r="Q42" s="233"/>
      <c r="S42" s="165"/>
    </row>
    <row r="43" spans="1:20">
      <c r="A43" t="s">
        <v>58</v>
      </c>
      <c r="H43" s="68"/>
      <c r="I43" s="148">
        <v>0</v>
      </c>
      <c r="N43" s="233"/>
      <c r="O43" s="233"/>
      <c r="P43" s="233"/>
      <c r="Q43" s="233"/>
      <c r="S43" s="165"/>
    </row>
    <row r="44" spans="1:20">
      <c r="H44" s="68"/>
      <c r="I44" s="67"/>
      <c r="N44" s="233"/>
      <c r="O44" s="233"/>
      <c r="P44" s="233"/>
      <c r="Q44" s="233"/>
      <c r="S44" s="165"/>
    </row>
    <row r="45" spans="1:20">
      <c r="H45" s="68"/>
      <c r="I45" s="67"/>
      <c r="N45" s="233"/>
      <c r="O45" s="233"/>
      <c r="P45" s="233"/>
      <c r="Q45" s="233"/>
      <c r="S45" s="165"/>
    </row>
    <row r="46" spans="1:20">
      <c r="A46" t="s">
        <v>175</v>
      </c>
      <c r="D46" s="144" t="s">
        <v>176</v>
      </c>
      <c r="E46" s="144"/>
      <c r="F46" s="144"/>
      <c r="H46" s="68"/>
      <c r="I46" s="66">
        <f>-E46*F46</f>
        <v>0</v>
      </c>
      <c r="N46" s="165" t="s">
        <v>25</v>
      </c>
      <c r="O46">
        <f>3.34*O17</f>
        <v>13203.9552</v>
      </c>
      <c r="P46" s="165" t="s">
        <v>398</v>
      </c>
      <c r="S46" s="165" t="s">
        <v>397</v>
      </c>
      <c r="T46">
        <f>3.34*O17</f>
        <v>13203.9552</v>
      </c>
    </row>
    <row r="47" spans="1:20">
      <c r="H47" s="68"/>
      <c r="I47" s="67"/>
      <c r="N47" s="165" t="s">
        <v>25</v>
      </c>
      <c r="O47">
        <f>O46/8000</f>
        <v>1.6504944000000001</v>
      </c>
      <c r="P47" s="165" t="s">
        <v>399</v>
      </c>
    </row>
    <row r="48" spans="1:20">
      <c r="A48" t="s">
        <v>59</v>
      </c>
      <c r="H48" s="68"/>
      <c r="I48" s="148">
        <v>0</v>
      </c>
    </row>
    <row r="49" spans="1:17">
      <c r="H49" s="25"/>
      <c r="I49" s="24"/>
    </row>
    <row r="50" spans="1:17">
      <c r="A50" s="5" t="s">
        <v>60</v>
      </c>
      <c r="H50" s="25"/>
      <c r="I50" s="65">
        <f>SUM(I21,I33,I40,I42:I48)</f>
        <v>0.95713306391228781</v>
      </c>
      <c r="J50" t="str">
        <f>+"per "&amp;Units</f>
        <v>per kg</v>
      </c>
    </row>
    <row r="51" spans="1:17">
      <c r="I51" s="22">
        <f>I50*D8/1000</f>
        <v>135047.52427273599</v>
      </c>
      <c r="J51" t="s">
        <v>163</v>
      </c>
      <c r="N51" s="232" t="s">
        <v>400</v>
      </c>
      <c r="O51" s="233"/>
      <c r="P51" s="233"/>
      <c r="Q51" s="233"/>
    </row>
    <row r="52" spans="1:17">
      <c r="N52" s="233"/>
      <c r="O52" s="233"/>
      <c r="P52" s="233"/>
      <c r="Q52" s="233"/>
    </row>
    <row r="53" spans="1:17">
      <c r="N53" s="233"/>
      <c r="O53" s="233"/>
      <c r="P53" s="233"/>
      <c r="Q53" s="233"/>
    </row>
    <row r="54" spans="1:17">
      <c r="N54" s="233"/>
      <c r="O54" s="233"/>
      <c r="P54" s="233"/>
      <c r="Q54" s="233"/>
    </row>
    <row r="55" spans="1:17">
      <c r="N55" s="165" t="s">
        <v>25</v>
      </c>
      <c r="O55">
        <f>3.34*O16</f>
        <v>429677.23920000001</v>
      </c>
      <c r="P55" s="165" t="s">
        <v>398</v>
      </c>
    </row>
    <row r="56" spans="1:17">
      <c r="N56" s="165" t="s">
        <v>25</v>
      </c>
      <c r="O56">
        <f>O55/8000</f>
        <v>53.709654900000004</v>
      </c>
      <c r="P56" s="165" t="s">
        <v>399</v>
      </c>
    </row>
    <row r="59" spans="1:17">
      <c r="E59"/>
      <c r="F59"/>
      <c r="H59"/>
    </row>
    <row r="60" spans="1:17">
      <c r="E60"/>
      <c r="F60"/>
      <c r="H60"/>
    </row>
    <row r="61" spans="1:17">
      <c r="E61"/>
      <c r="F61"/>
      <c r="H61"/>
    </row>
    <row r="62" spans="1:17" ht="12.75" customHeight="1">
      <c r="E62"/>
      <c r="F62"/>
      <c r="H62"/>
    </row>
    <row r="63" spans="1:17">
      <c r="E63"/>
      <c r="F63"/>
      <c r="H63"/>
    </row>
    <row r="64" spans="1:17" ht="12.75" customHeight="1">
      <c r="E64"/>
      <c r="F64"/>
      <c r="H64"/>
    </row>
    <row r="65" customFormat="1"/>
    <row r="66" customFormat="1" ht="12.75" customHeight="1"/>
    <row r="67" customFormat="1"/>
    <row r="68" customFormat="1" ht="12.75" customHeigh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</sheetData>
  <mergeCells count="4">
    <mergeCell ref="C6:F6"/>
    <mergeCell ref="K2:Q2"/>
    <mergeCell ref="N42:Q45"/>
    <mergeCell ref="N51:Q54"/>
  </mergeCells>
  <phoneticPr fontId="16" type="noConversion"/>
  <printOptions horizontalCentered="1" verticalCentered="1" gridLines="1"/>
  <pageMargins left="0.75" right="0.75" top="0.5" bottom="0.5" header="0" footer="0"/>
  <pageSetup scale="91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O66"/>
  <sheetViews>
    <sheetView showZeros="0" workbookViewId="0">
      <selection activeCell="N32" sqref="N32"/>
    </sheetView>
  </sheetViews>
  <sheetFormatPr baseColWidth="10" defaultColWidth="8.83203125" defaultRowHeight="13"/>
  <cols>
    <col min="1" max="1" width="6.1640625" customWidth="1"/>
    <col min="2" max="2" width="11" customWidth="1"/>
    <col min="3" max="3" width="7.5" customWidth="1"/>
    <col min="4" max="4" width="11.6640625" customWidth="1"/>
    <col min="5" max="5" width="11" customWidth="1"/>
    <col min="8" max="9" width="9.1640625" style="36" customWidth="1"/>
    <col min="12" max="12" width="20.83203125" bestFit="1" customWidth="1"/>
    <col min="14" max="14" width="9.1640625" bestFit="1" customWidth="1"/>
    <col min="15" max="15" width="10" bestFit="1" customWidth="1"/>
  </cols>
  <sheetData>
    <row r="1" spans="1:15" ht="20">
      <c r="A1" s="2" t="s">
        <v>30</v>
      </c>
      <c r="B1" s="2"/>
      <c r="C1" s="2"/>
      <c r="D1" s="2"/>
      <c r="E1" s="2"/>
      <c r="F1" s="2"/>
      <c r="G1" s="2"/>
      <c r="H1" s="34"/>
      <c r="I1" s="34"/>
    </row>
    <row r="2" spans="1:15" ht="20">
      <c r="A2" s="2" t="s">
        <v>61</v>
      </c>
      <c r="B2" s="2"/>
      <c r="C2" s="2"/>
      <c r="D2" s="2"/>
      <c r="E2" s="2"/>
      <c r="F2" s="2"/>
      <c r="G2" s="2"/>
      <c r="H2" s="34"/>
      <c r="I2" s="34"/>
    </row>
    <row r="3" spans="1:15" ht="12.75" customHeight="1">
      <c r="A3" s="2"/>
      <c r="B3" s="2"/>
      <c r="C3" s="2"/>
      <c r="D3" s="2"/>
      <c r="E3" s="2"/>
      <c r="F3" s="2"/>
      <c r="G3" s="2"/>
      <c r="H3" s="34"/>
      <c r="I3" s="34"/>
    </row>
    <row r="4" spans="1:15" ht="12.75" customHeight="1">
      <c r="A4" s="2"/>
      <c r="B4" s="2"/>
      <c r="C4" s="8"/>
      <c r="D4" s="11" t="s">
        <v>32</v>
      </c>
      <c r="E4" s="2"/>
      <c r="F4" s="9"/>
      <c r="G4" s="11" t="s">
        <v>33</v>
      </c>
      <c r="H4" s="34"/>
      <c r="I4" s="34"/>
    </row>
    <row r="5" spans="1:15">
      <c r="E5" s="3"/>
      <c r="F5" s="3"/>
      <c r="H5" s="35"/>
    </row>
    <row r="6" spans="1:15">
      <c r="A6" t="s">
        <v>34</v>
      </c>
      <c r="C6" s="228"/>
      <c r="D6" s="229"/>
      <c r="E6" s="229"/>
      <c r="F6" s="229"/>
      <c r="G6" s="230"/>
      <c r="H6" s="35"/>
    </row>
    <row r="7" spans="1:15">
      <c r="E7" s="3"/>
      <c r="F7" s="3"/>
      <c r="H7" s="37"/>
    </row>
    <row r="8" spans="1:15">
      <c r="A8" t="s">
        <v>127</v>
      </c>
      <c r="D8" s="150">
        <f>AnnCap</f>
        <v>141095872</v>
      </c>
      <c r="E8" s="149" t="str">
        <f>Units&amp;" per Year"</f>
        <v>kg per Year</v>
      </c>
      <c r="F8" s="3"/>
      <c r="H8" s="35"/>
    </row>
    <row r="9" spans="1:15">
      <c r="E9" s="3"/>
      <c r="F9" s="3"/>
      <c r="H9" s="35"/>
    </row>
    <row r="10" spans="1:15">
      <c r="A10" t="s">
        <v>148</v>
      </c>
      <c r="D10" s="151">
        <f>INVEST</f>
        <v>143900</v>
      </c>
      <c r="E10" s="6" t="s">
        <v>168</v>
      </c>
      <c r="F10" s="3"/>
      <c r="H10" s="35"/>
      <c r="L10" s="165" t="s">
        <v>382</v>
      </c>
    </row>
    <row r="11" spans="1:15">
      <c r="E11" s="3"/>
      <c r="F11" s="172"/>
      <c r="H11" s="35"/>
      <c r="L11" s="165" t="s">
        <v>383</v>
      </c>
      <c r="M11" s="165" t="s">
        <v>25</v>
      </c>
      <c r="N11" s="165" t="s">
        <v>384</v>
      </c>
      <c r="O11" s="165" t="s">
        <v>385</v>
      </c>
    </row>
    <row r="12" spans="1:15">
      <c r="A12" s="5" t="s">
        <v>62</v>
      </c>
      <c r="E12" s="172"/>
      <c r="F12" s="3"/>
      <c r="G12" s="165"/>
      <c r="H12" s="38" t="s">
        <v>63</v>
      </c>
      <c r="I12" s="38"/>
      <c r="L12" s="165" t="s">
        <v>246</v>
      </c>
      <c r="M12">
        <v>1</v>
      </c>
      <c r="N12" s="24">
        <v>0.5</v>
      </c>
      <c r="O12">
        <f>M12*N12</f>
        <v>0.5</v>
      </c>
    </row>
    <row r="13" spans="1:15">
      <c r="B13" t="s">
        <v>64</v>
      </c>
      <c r="D13" s="152">
        <v>48</v>
      </c>
      <c r="E13" s="3"/>
      <c r="F13" s="3"/>
      <c r="H13" s="39" t="s">
        <v>164</v>
      </c>
      <c r="I13" s="39"/>
      <c r="L13" t="s">
        <v>280</v>
      </c>
      <c r="M13" s="212">
        <v>12</v>
      </c>
      <c r="N13">
        <v>0.25</v>
      </c>
      <c r="O13">
        <f t="shared" ref="O13:O18" si="0">M13*N13</f>
        <v>3</v>
      </c>
    </row>
    <row r="14" spans="1:15">
      <c r="B14" t="s">
        <v>65</v>
      </c>
      <c r="D14" s="153">
        <v>75</v>
      </c>
      <c r="E14" s="6" t="s">
        <v>169</v>
      </c>
      <c r="F14" s="3"/>
      <c r="H14" s="40">
        <f>D13*D14</f>
        <v>3600</v>
      </c>
      <c r="L14" t="s">
        <v>291</v>
      </c>
      <c r="M14" s="212">
        <v>2</v>
      </c>
      <c r="N14">
        <v>0.25</v>
      </c>
      <c r="O14">
        <f t="shared" si="0"/>
        <v>0.5</v>
      </c>
    </row>
    <row r="15" spans="1:15">
      <c r="B15" t="s">
        <v>66</v>
      </c>
      <c r="D15" s="142">
        <v>0.4</v>
      </c>
      <c r="E15" s="3" t="s">
        <v>67</v>
      </c>
      <c r="F15" s="3"/>
      <c r="H15" s="40">
        <f>D15*H14</f>
        <v>1440</v>
      </c>
      <c r="L15" t="s">
        <v>248</v>
      </c>
      <c r="M15" s="212">
        <v>1</v>
      </c>
      <c r="N15">
        <v>0.5</v>
      </c>
      <c r="O15">
        <f t="shared" si="0"/>
        <v>0.5</v>
      </c>
    </row>
    <row r="16" spans="1:15">
      <c r="B16" t="s">
        <v>68</v>
      </c>
      <c r="E16" s="154"/>
      <c r="F16" s="6" t="s">
        <v>67</v>
      </c>
      <c r="H16" s="40">
        <f>E16*H14</f>
        <v>0</v>
      </c>
      <c r="L16" t="s">
        <v>292</v>
      </c>
      <c r="M16" s="212">
        <v>4</v>
      </c>
      <c r="N16">
        <v>1</v>
      </c>
      <c r="O16">
        <f t="shared" si="0"/>
        <v>4</v>
      </c>
    </row>
    <row r="17" spans="1:15">
      <c r="A17" t="s">
        <v>69</v>
      </c>
      <c r="E17" s="3"/>
      <c r="F17" s="3"/>
      <c r="H17" s="35"/>
      <c r="I17" s="40">
        <f>SUM(H14:H16)</f>
        <v>5040</v>
      </c>
      <c r="L17" t="s">
        <v>249</v>
      </c>
      <c r="M17" s="212">
        <v>1</v>
      </c>
      <c r="N17">
        <v>0.5</v>
      </c>
      <c r="O17">
        <f t="shared" si="0"/>
        <v>0.5</v>
      </c>
    </row>
    <row r="18" spans="1:15">
      <c r="A18" t="s">
        <v>70</v>
      </c>
      <c r="E18" s="154"/>
      <c r="F18" s="3" t="s">
        <v>67</v>
      </c>
      <c r="H18" s="35"/>
      <c r="I18" s="40">
        <f>E18*H14</f>
        <v>0</v>
      </c>
      <c r="L18" t="s">
        <v>250</v>
      </c>
      <c r="M18" s="212">
        <v>1</v>
      </c>
      <c r="N18">
        <v>0.5</v>
      </c>
      <c r="O18">
        <f t="shared" si="0"/>
        <v>0.5</v>
      </c>
    </row>
    <row r="19" spans="1:15">
      <c r="E19" s="3"/>
      <c r="F19" s="3"/>
      <c r="H19" s="35"/>
      <c r="M19" s="26"/>
      <c r="O19">
        <f>SUM(O12:O18)</f>
        <v>9.5</v>
      </c>
    </row>
    <row r="20" spans="1:15">
      <c r="A20" s="5" t="s">
        <v>71</v>
      </c>
      <c r="E20" s="3"/>
      <c r="F20" s="3"/>
      <c r="H20" s="35"/>
      <c r="L20" s="165" t="s">
        <v>402</v>
      </c>
      <c r="M20" s="212">
        <v>3</v>
      </c>
      <c r="N20">
        <f>M20*O19</f>
        <v>28.5</v>
      </c>
    </row>
    <row r="21" spans="1:15">
      <c r="B21" t="s">
        <v>72</v>
      </c>
      <c r="E21" s="142">
        <v>7.0000000000000007E-2</v>
      </c>
      <c r="F21" s="6" t="s">
        <v>73</v>
      </c>
      <c r="H21" s="35"/>
      <c r="I21" s="40">
        <f>E21*INVEST</f>
        <v>10073.000000000002</v>
      </c>
      <c r="L21" s="165" t="s">
        <v>403</v>
      </c>
      <c r="M21" s="212">
        <v>1</v>
      </c>
      <c r="N21">
        <f>M21*O19</f>
        <v>9.5</v>
      </c>
    </row>
    <row r="22" spans="1:15">
      <c r="B22" t="s">
        <v>74</v>
      </c>
      <c r="E22" s="142"/>
      <c r="F22" s="6" t="s">
        <v>75</v>
      </c>
      <c r="H22" s="40">
        <f>E22*E21*INVEST</f>
        <v>0</v>
      </c>
      <c r="L22" s="165" t="s">
        <v>404</v>
      </c>
      <c r="M22" s="212">
        <v>1</v>
      </c>
      <c r="N22">
        <f>M22*O19</f>
        <v>9.5</v>
      </c>
    </row>
    <row r="23" spans="1:15">
      <c r="B23" t="s">
        <v>76</v>
      </c>
      <c r="E23" s="142"/>
      <c r="F23" s="6" t="s">
        <v>75</v>
      </c>
      <c r="H23" s="40">
        <f>E23*E21*INVEST</f>
        <v>0</v>
      </c>
      <c r="N23">
        <f>SUM(N20:N22)</f>
        <v>47.5</v>
      </c>
    </row>
    <row r="24" spans="1:15">
      <c r="E24" s="3"/>
      <c r="F24" s="3"/>
      <c r="H24" s="35"/>
      <c r="L24" s="165" t="s">
        <v>385</v>
      </c>
      <c r="M24" s="101">
        <f>SUM(N20:N22)</f>
        <v>47.5</v>
      </c>
    </row>
    <row r="25" spans="1:15">
      <c r="A25" s="5" t="s">
        <v>77</v>
      </c>
      <c r="E25" s="3"/>
      <c r="F25" s="3"/>
      <c r="H25" s="35"/>
    </row>
    <row r="26" spans="1:15">
      <c r="B26" t="s">
        <v>78</v>
      </c>
      <c r="C26" s="142">
        <v>1.2</v>
      </c>
      <c r="D26" t="s">
        <v>79</v>
      </c>
      <c r="E26" s="3"/>
      <c r="F26" s="3"/>
      <c r="H26" s="35"/>
      <c r="I26" s="40">
        <f>C26*(H14+H16+H22)</f>
        <v>4320</v>
      </c>
    </row>
    <row r="27" spans="1:15">
      <c r="B27" s="7" t="s">
        <v>80</v>
      </c>
      <c r="E27" s="142"/>
      <c r="F27" s="6" t="s">
        <v>81</v>
      </c>
      <c r="H27" s="35"/>
      <c r="I27" s="40">
        <f>E27*INVEST</f>
        <v>0</v>
      </c>
    </row>
    <row r="28" spans="1:15">
      <c r="B28" s="7"/>
      <c r="F28" s="6"/>
      <c r="H28" s="35"/>
    </row>
    <row r="29" spans="1:15">
      <c r="A29" s="5" t="s">
        <v>82</v>
      </c>
      <c r="B29" s="7"/>
      <c r="F29" s="6"/>
      <c r="H29" s="35"/>
    </row>
    <row r="30" spans="1:15">
      <c r="B30" s="7" t="s">
        <v>83</v>
      </c>
      <c r="E30" s="142"/>
      <c r="F30" s="6" t="s">
        <v>81</v>
      </c>
      <c r="H30" s="40">
        <f>E30*INVEST</f>
        <v>0</v>
      </c>
    </row>
    <row r="31" spans="1:15">
      <c r="B31" s="7" t="s">
        <v>84</v>
      </c>
      <c r="E31" s="142"/>
      <c r="F31" s="6" t="s">
        <v>81</v>
      </c>
      <c r="H31" s="40">
        <f>E31*INVEST</f>
        <v>0</v>
      </c>
    </row>
    <row r="32" spans="1:15">
      <c r="A32" t="s">
        <v>85</v>
      </c>
      <c r="B32" s="7"/>
      <c r="E32" s="6"/>
      <c r="F32" s="6"/>
      <c r="H32" s="41"/>
      <c r="I32" s="40">
        <f>H30+H31</f>
        <v>0</v>
      </c>
    </row>
    <row r="34" spans="1:10">
      <c r="A34" s="5" t="s">
        <v>86</v>
      </c>
    </row>
    <row r="35" spans="1:10">
      <c r="B35" s="142">
        <v>1.4999999999999999E-2</v>
      </c>
      <c r="C35" t="s">
        <v>81</v>
      </c>
      <c r="I35" s="40">
        <f>B35*INVEST</f>
        <v>2158.5</v>
      </c>
    </row>
    <row r="37" spans="1:10" ht="12.75" customHeight="1">
      <c r="A37" s="5" t="s">
        <v>87</v>
      </c>
      <c r="D37" s="155"/>
      <c r="E37" t="str">
        <f>" per annual "&amp;Units&amp;" of Capacity"</f>
        <v xml:space="preserve"> per annual kg of Capacity</v>
      </c>
      <c r="I37" s="40">
        <f>D37*AnnCap/1000</f>
        <v>0</v>
      </c>
    </row>
    <row r="39" spans="1:10">
      <c r="A39" s="5" t="s">
        <v>88</v>
      </c>
      <c r="H39" s="35" t="s">
        <v>128</v>
      </c>
      <c r="I39" s="40">
        <f>I17+I18+I21+I26+I27+I32+I35+I37</f>
        <v>21591.5</v>
      </c>
      <c r="J39" t="s">
        <v>165</v>
      </c>
    </row>
    <row r="40" spans="1:10">
      <c r="I40" s="74">
        <f>IF(D8=0,0,I39/AnnCap*1000)</f>
        <v>0.15302715589014537</v>
      </c>
      <c r="J40" t="str">
        <f>+"per "&amp;Units</f>
        <v>per kg</v>
      </c>
    </row>
    <row r="42" spans="1:10">
      <c r="A42" s="5" t="s">
        <v>89</v>
      </c>
    </row>
    <row r="43" spans="1:10">
      <c r="B43" s="156"/>
      <c r="C43" t="s">
        <v>81</v>
      </c>
      <c r="I43" s="40">
        <f>B43*INVEST</f>
        <v>0</v>
      </c>
    </row>
    <row r="44" spans="1:10">
      <c r="B44" s="128" t="s">
        <v>178</v>
      </c>
    </row>
    <row r="46" spans="1:10">
      <c r="A46" s="5" t="s">
        <v>90</v>
      </c>
      <c r="H46" s="35" t="s">
        <v>128</v>
      </c>
      <c r="I46" s="40">
        <f>I39+I43</f>
        <v>21591.5</v>
      </c>
      <c r="J46" t="s">
        <v>165</v>
      </c>
    </row>
    <row r="47" spans="1:10">
      <c r="I47" s="74">
        <f>IF(D8=0,0,I46/AnnCap*1000)</f>
        <v>0.15302715589014537</v>
      </c>
      <c r="J47" t="str">
        <f>+"per "&amp;LEFT(E8,3)</f>
        <v xml:space="preserve">per kg </v>
      </c>
    </row>
    <row r="53" spans="1:11">
      <c r="A53" s="102"/>
      <c r="B53" s="102"/>
      <c r="C53" s="102"/>
      <c r="D53" s="102"/>
      <c r="E53" s="102"/>
      <c r="F53" s="102"/>
      <c r="G53" s="102"/>
      <c r="H53" s="116"/>
      <c r="I53" s="116"/>
      <c r="J53" s="102"/>
      <c r="K53" s="102"/>
    </row>
    <row r="54" spans="1:11">
      <c r="A54" s="102"/>
      <c r="B54" s="102"/>
      <c r="C54" s="102"/>
      <c r="D54" s="102"/>
      <c r="E54" s="81"/>
      <c r="F54" s="102"/>
      <c r="G54" s="102"/>
      <c r="H54" s="102"/>
      <c r="I54" s="102"/>
      <c r="J54" s="102"/>
      <c r="K54" s="102"/>
    </row>
    <row r="55" spans="1:11">
      <c r="A55" s="102"/>
      <c r="B55" s="120"/>
      <c r="C55" s="102"/>
      <c r="D55" s="102"/>
      <c r="E55" s="81"/>
      <c r="F55" s="102"/>
      <c r="G55" s="102"/>
      <c r="H55" s="102"/>
      <c r="I55" s="102"/>
      <c r="J55" s="102"/>
      <c r="K55" s="102"/>
    </row>
    <row r="56" spans="1:11">
      <c r="A56" s="102"/>
      <c r="B56" s="120"/>
      <c r="C56" s="102"/>
      <c r="D56" s="106"/>
      <c r="E56" s="121"/>
      <c r="F56" s="106"/>
      <c r="G56" s="106"/>
      <c r="H56" s="106"/>
      <c r="I56" s="106"/>
      <c r="J56" s="102"/>
      <c r="K56" s="102"/>
    </row>
    <row r="57" spans="1:11">
      <c r="A57" s="102"/>
      <c r="B57" s="120"/>
      <c r="C57" s="102"/>
      <c r="D57" s="102"/>
      <c r="E57" s="81"/>
      <c r="F57" s="102"/>
      <c r="G57" s="102"/>
      <c r="H57" s="116"/>
      <c r="I57" s="116"/>
      <c r="J57" s="102"/>
      <c r="K57" s="102"/>
    </row>
    <row r="58" spans="1:11">
      <c r="A58" s="102"/>
      <c r="B58" s="120"/>
      <c r="C58" s="102"/>
      <c r="D58" s="102"/>
      <c r="E58" s="81"/>
      <c r="F58" s="102"/>
      <c r="G58" s="102"/>
      <c r="H58" s="102"/>
      <c r="I58" s="102"/>
      <c r="J58" s="102"/>
      <c r="K58" s="102"/>
    </row>
    <row r="59" spans="1:11">
      <c r="A59" s="102"/>
      <c r="B59" s="120"/>
      <c r="C59" s="116"/>
      <c r="D59" s="116"/>
      <c r="E59" s="118"/>
      <c r="F59" s="116"/>
      <c r="G59" s="116"/>
      <c r="H59" s="116"/>
      <c r="I59" s="116"/>
      <c r="J59" s="102"/>
      <c r="K59" s="102"/>
    </row>
    <row r="60" spans="1:11">
      <c r="A60" s="102"/>
      <c r="B60" s="120"/>
      <c r="C60" s="116"/>
      <c r="D60" s="116"/>
      <c r="E60" s="118"/>
      <c r="F60" s="116"/>
      <c r="G60" s="116"/>
      <c r="H60" s="116"/>
      <c r="I60" s="116"/>
      <c r="J60" s="102"/>
      <c r="K60" s="102"/>
    </row>
    <row r="61" spans="1:11">
      <c r="A61" s="102"/>
      <c r="B61" s="102"/>
      <c r="C61" s="102"/>
      <c r="D61" s="102"/>
      <c r="E61" s="81"/>
      <c r="F61" s="102"/>
      <c r="G61" s="102"/>
      <c r="H61" s="102"/>
      <c r="I61" s="102"/>
      <c r="J61" s="102"/>
      <c r="K61" s="102"/>
    </row>
    <row r="62" spans="1:11">
      <c r="A62" s="102"/>
      <c r="B62" s="120"/>
      <c r="C62" s="122"/>
      <c r="D62" s="122"/>
      <c r="E62" s="123"/>
      <c r="F62" s="122"/>
      <c r="G62" s="122"/>
      <c r="H62" s="122"/>
      <c r="I62" s="102"/>
      <c r="J62" s="102"/>
      <c r="K62" s="102"/>
    </row>
    <row r="63" spans="1:11">
      <c r="A63" s="102"/>
      <c r="B63" s="120"/>
      <c r="C63" s="122"/>
      <c r="D63" s="122"/>
      <c r="E63" s="123"/>
      <c r="F63" s="122"/>
      <c r="G63" s="122"/>
      <c r="H63" s="122"/>
      <c r="I63" s="122"/>
      <c r="J63" s="102"/>
      <c r="K63" s="102"/>
    </row>
    <row r="64" spans="1:11">
      <c r="A64" s="102"/>
      <c r="B64" s="120"/>
      <c r="C64" s="122"/>
      <c r="D64" s="122"/>
      <c r="E64" s="123"/>
      <c r="F64" s="122"/>
      <c r="G64" s="122"/>
      <c r="H64" s="122"/>
      <c r="I64" s="122"/>
      <c r="J64" s="102"/>
      <c r="K64" s="102"/>
    </row>
    <row r="65" spans="1:11">
      <c r="A65" s="102"/>
      <c r="B65" s="120"/>
      <c r="C65" s="122"/>
      <c r="D65" s="122"/>
      <c r="E65" s="123"/>
      <c r="F65" s="122"/>
      <c r="G65" s="122"/>
      <c r="H65" s="122"/>
      <c r="I65" s="122"/>
      <c r="J65" s="102"/>
      <c r="K65" s="102"/>
    </row>
    <row r="66" spans="1:11">
      <c r="A66" s="102"/>
      <c r="B66" s="120"/>
      <c r="C66" s="102"/>
      <c r="D66" s="124"/>
      <c r="E66" s="125"/>
      <c r="F66" s="126"/>
      <c r="G66" s="126"/>
      <c r="H66" s="126"/>
      <c r="I66" s="126"/>
      <c r="J66" s="102"/>
      <c r="K66" s="102"/>
    </row>
  </sheetData>
  <mergeCells count="1">
    <mergeCell ref="C6:G6"/>
  </mergeCells>
  <phoneticPr fontId="16" type="noConversion"/>
  <printOptions horizontalCentered="1" verticalCentered="1" gridLines="1"/>
  <pageMargins left="0.75" right="0.75" top="0.5" bottom="0.5" header="0" footer="0"/>
  <pageSetup scale="97" orientation="portrait" horizontalDpi="4294967292" verticalDpi="2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IT93"/>
  <sheetViews>
    <sheetView zoomScale="111" zoomScaleNormal="70" workbookViewId="0">
      <selection activeCell="F57" sqref="F57"/>
    </sheetView>
  </sheetViews>
  <sheetFormatPr baseColWidth="10" defaultColWidth="8.6640625" defaultRowHeight="13"/>
  <cols>
    <col min="1" max="1" width="26.83203125" bestFit="1" customWidth="1"/>
    <col min="2" max="2" width="9.5" bestFit="1" customWidth="1"/>
    <col min="3" max="3" width="15.1640625" customWidth="1"/>
    <col min="4" max="4" width="10.1640625" customWidth="1"/>
    <col min="5" max="5" width="13" customWidth="1"/>
    <col min="6" max="6" width="17.33203125" customWidth="1"/>
    <col min="7" max="7" width="13.33203125" customWidth="1"/>
    <col min="8" max="14" width="12.5" customWidth="1"/>
    <col min="15" max="18" width="12.5" bestFit="1" customWidth="1"/>
    <col min="19" max="24" width="12.5" customWidth="1"/>
    <col min="25" max="25" width="12.5" bestFit="1" customWidth="1"/>
    <col min="26" max="31" width="10.6640625" bestFit="1" customWidth="1"/>
  </cols>
  <sheetData>
    <row r="1" spans="1:8" ht="23">
      <c r="B1" s="17" t="s">
        <v>91</v>
      </c>
      <c r="C1" s="17"/>
      <c r="D1" s="17"/>
      <c r="E1" s="17"/>
      <c r="F1" s="17"/>
      <c r="G1" s="17"/>
      <c r="H1" s="17"/>
    </row>
    <row r="3" spans="1:8">
      <c r="C3" s="1"/>
      <c r="D3" s="18" t="s">
        <v>167</v>
      </c>
      <c r="E3" s="18"/>
      <c r="F3" s="18"/>
      <c r="G3" s="1"/>
    </row>
    <row r="4" spans="1:8">
      <c r="C4" s="1"/>
      <c r="D4" s="18"/>
      <c r="E4" s="18"/>
      <c r="F4" s="18"/>
      <c r="G4" s="1"/>
    </row>
    <row r="5" spans="1:8">
      <c r="A5" s="53" t="s">
        <v>92</v>
      </c>
      <c r="C5" s="1"/>
      <c r="D5" s="18"/>
      <c r="E5" s="18"/>
      <c r="F5" s="18"/>
      <c r="G5" s="1"/>
    </row>
    <row r="6" spans="1:8">
      <c r="A6" s="98" t="s">
        <v>93</v>
      </c>
      <c r="C6" s="1"/>
      <c r="D6" s="18"/>
      <c r="E6" s="18"/>
      <c r="F6" s="18"/>
      <c r="G6" s="1"/>
    </row>
    <row r="7" spans="1:8">
      <c r="A7" s="99" t="s">
        <v>94</v>
      </c>
      <c r="C7" s="1"/>
      <c r="D7" s="18"/>
      <c r="E7" s="18"/>
      <c r="F7" s="18"/>
      <c r="G7" s="1"/>
    </row>
    <row r="8" spans="1:8">
      <c r="A8" s="100" t="s">
        <v>95</v>
      </c>
      <c r="C8" s="1"/>
      <c r="D8" s="18"/>
      <c r="E8" s="18"/>
      <c r="F8" s="18"/>
      <c r="G8" s="1"/>
    </row>
    <row r="9" spans="1:8" ht="14.25" customHeight="1">
      <c r="A9" s="95" t="s">
        <v>158</v>
      </c>
    </row>
    <row r="10" spans="1:8" ht="14.25" customHeight="1">
      <c r="A10" s="81"/>
    </row>
    <row r="11" spans="1:8">
      <c r="A11" s="102"/>
      <c r="B11" s="107"/>
      <c r="C11" s="4" t="s">
        <v>96</v>
      </c>
      <c r="D11" s="71">
        <v>8.5000000000000006E-2</v>
      </c>
      <c r="F11" t="s">
        <v>97</v>
      </c>
      <c r="G11" s="71">
        <v>0.02</v>
      </c>
      <c r="H11" t="s">
        <v>143</v>
      </c>
    </row>
    <row r="12" spans="1:8">
      <c r="A12" s="102"/>
      <c r="B12" s="107"/>
      <c r="C12" s="4" t="s">
        <v>187</v>
      </c>
      <c r="D12" s="72">
        <f>INVEST</f>
        <v>143900</v>
      </c>
      <c r="E12" t="s">
        <v>168</v>
      </c>
      <c r="F12" t="s">
        <v>97</v>
      </c>
      <c r="G12" s="71">
        <v>0.02</v>
      </c>
      <c r="H12" t="s">
        <v>142</v>
      </c>
    </row>
    <row r="13" spans="1:8">
      <c r="A13" s="102"/>
      <c r="B13" s="107"/>
      <c r="C13" s="4" t="s">
        <v>157</v>
      </c>
      <c r="D13" s="103">
        <v>1.3213415215641977</v>
      </c>
      <c r="E13" t="s">
        <v>99</v>
      </c>
      <c r="F13" t="s">
        <v>98</v>
      </c>
    </row>
    <row r="14" spans="1:8" hidden="1">
      <c r="A14" s="102"/>
      <c r="B14" s="107"/>
      <c r="C14" s="4"/>
    </row>
    <row r="15" spans="1:8" hidden="1">
      <c r="A15" s="102"/>
      <c r="B15" s="107"/>
    </row>
    <row r="16" spans="1:8" ht="24">
      <c r="A16" s="129" t="s">
        <v>166</v>
      </c>
      <c r="B16" s="102"/>
      <c r="C16" s="4" t="s">
        <v>151</v>
      </c>
      <c r="D16" s="16">
        <v>0.1</v>
      </c>
    </row>
    <row r="17" spans="1:254">
      <c r="A17" s="102"/>
      <c r="B17" s="102"/>
      <c r="C17" s="4" t="s">
        <v>152</v>
      </c>
      <c r="D17" s="92">
        <f>salvage_perct*TOTINVEST</f>
        <v>14390</v>
      </c>
    </row>
    <row r="18" spans="1:254">
      <c r="A18" s="102"/>
      <c r="B18" s="102"/>
      <c r="C18" s="4"/>
      <c r="D18" s="81"/>
    </row>
    <row r="19" spans="1:254">
      <c r="A19" s="102" t="s">
        <v>171</v>
      </c>
      <c r="B19" s="102"/>
      <c r="C19" s="4">
        <v>1.2500000000000001E-2</v>
      </c>
      <c r="D19" s="81" t="s">
        <v>172</v>
      </c>
      <c r="F19" s="101"/>
    </row>
    <row r="20" spans="1:254">
      <c r="A20" s="102" t="s">
        <v>173</v>
      </c>
      <c r="B20" s="102"/>
      <c r="C20" s="4">
        <v>0.03</v>
      </c>
      <c r="D20" s="115" t="s">
        <v>172</v>
      </c>
    </row>
    <row r="21" spans="1:254">
      <c r="A21" s="102"/>
      <c r="B21" s="102"/>
      <c r="C21" s="4"/>
      <c r="D21" s="81"/>
    </row>
    <row r="22" spans="1:254">
      <c r="A22" s="102"/>
      <c r="B22" s="102"/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  <c r="AB22">
        <v>27</v>
      </c>
      <c r="AC22">
        <v>28</v>
      </c>
      <c r="AD22">
        <v>29</v>
      </c>
      <c r="AE22">
        <v>30</v>
      </c>
    </row>
    <row r="23" spans="1:254">
      <c r="A23" s="102"/>
      <c r="B23" s="3" t="s">
        <v>100</v>
      </c>
      <c r="C23" s="1" t="s">
        <v>174</v>
      </c>
      <c r="D23" s="1"/>
      <c r="F23" s="3" t="s">
        <v>156</v>
      </c>
      <c r="G23" s="3">
        <v>1</v>
      </c>
      <c r="H23" s="3">
        <v>2</v>
      </c>
      <c r="I23" s="3">
        <v>3</v>
      </c>
      <c r="J23" s="3">
        <v>4</v>
      </c>
      <c r="K23" s="3">
        <v>5</v>
      </c>
      <c r="L23" s="3">
        <v>6</v>
      </c>
      <c r="M23" s="3">
        <v>7</v>
      </c>
      <c r="N23" s="3">
        <v>8</v>
      </c>
      <c r="O23" s="3">
        <v>9</v>
      </c>
      <c r="P23" s="3">
        <v>10</v>
      </c>
      <c r="Q23" s="3">
        <v>11</v>
      </c>
      <c r="R23" s="3">
        <v>12</v>
      </c>
      <c r="S23" s="3">
        <v>13</v>
      </c>
      <c r="T23" s="3">
        <v>14</v>
      </c>
      <c r="U23" s="3">
        <v>15</v>
      </c>
      <c r="V23" s="3">
        <v>16</v>
      </c>
      <c r="W23" s="3">
        <v>17</v>
      </c>
      <c r="X23" s="3">
        <v>18</v>
      </c>
      <c r="Y23" s="3">
        <v>19</v>
      </c>
      <c r="Z23" s="3">
        <v>20</v>
      </c>
      <c r="AA23" s="3">
        <v>21</v>
      </c>
      <c r="AB23" s="3">
        <v>22</v>
      </c>
      <c r="AC23" s="3">
        <v>23</v>
      </c>
      <c r="AD23" s="3">
        <v>24</v>
      </c>
      <c r="AE23" s="3">
        <v>25</v>
      </c>
      <c r="AF23" s="88"/>
      <c r="AG23" s="88"/>
      <c r="AH23" s="88"/>
      <c r="AI23" s="88"/>
      <c r="AJ23" s="88"/>
      <c r="AK23" s="88"/>
      <c r="AL23" s="88"/>
      <c r="AM23" s="88"/>
      <c r="AN23" s="88"/>
      <c r="AO23" s="88"/>
      <c r="AP23" s="88"/>
      <c r="AQ23" s="88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</row>
    <row r="24" spans="1:254">
      <c r="A24" s="102"/>
      <c r="B24" s="3">
        <v>2021</v>
      </c>
      <c r="C24" s="3">
        <v>2022</v>
      </c>
      <c r="D24" s="3">
        <v>2023</v>
      </c>
      <c r="E24" s="3">
        <v>2024</v>
      </c>
      <c r="F24" s="3">
        <v>2025</v>
      </c>
      <c r="G24" s="3">
        <v>2026</v>
      </c>
      <c r="H24" s="3">
        <v>2027</v>
      </c>
      <c r="I24" s="3">
        <v>2028</v>
      </c>
      <c r="J24" s="3">
        <v>2029</v>
      </c>
      <c r="K24" s="3">
        <v>2030</v>
      </c>
      <c r="L24" s="3">
        <v>2031</v>
      </c>
      <c r="M24" s="3">
        <v>2032</v>
      </c>
      <c r="N24" s="3">
        <v>2033</v>
      </c>
      <c r="O24" s="3">
        <v>2034</v>
      </c>
      <c r="P24" s="3">
        <v>2035</v>
      </c>
      <c r="Q24" s="3">
        <v>2036</v>
      </c>
      <c r="R24" s="3">
        <v>2037</v>
      </c>
      <c r="S24" s="3">
        <v>2038</v>
      </c>
      <c r="T24" s="3">
        <v>2026</v>
      </c>
      <c r="U24" s="3">
        <v>2027</v>
      </c>
      <c r="V24" s="3">
        <v>2028</v>
      </c>
      <c r="W24" s="3">
        <v>2029</v>
      </c>
      <c r="X24" s="3">
        <v>2030</v>
      </c>
      <c r="Y24" s="3">
        <v>2031</v>
      </c>
      <c r="Z24" s="3">
        <v>2032</v>
      </c>
      <c r="AA24" s="3">
        <v>2033</v>
      </c>
      <c r="AB24" s="3">
        <v>2034</v>
      </c>
      <c r="AC24" s="3">
        <v>2035</v>
      </c>
      <c r="AD24" s="3">
        <v>2036</v>
      </c>
      <c r="AE24" s="3">
        <v>2039</v>
      </c>
      <c r="AF24" s="88"/>
      <c r="AG24" s="88"/>
      <c r="AH24" s="88"/>
      <c r="AI24" s="88"/>
      <c r="AJ24" s="88"/>
      <c r="AK24" s="88"/>
      <c r="AL24" s="88"/>
      <c r="AM24" s="88"/>
      <c r="AN24" s="88"/>
      <c r="AO24" s="88"/>
      <c r="AP24" s="88"/>
      <c r="AQ24" s="88"/>
    </row>
    <row r="25" spans="1:254" s="50" customFormat="1">
      <c r="A25" s="106" t="s">
        <v>101</v>
      </c>
      <c r="B25" s="73">
        <v>0</v>
      </c>
      <c r="C25" s="104">
        <v>0</v>
      </c>
      <c r="D25" s="104">
        <v>0</v>
      </c>
      <c r="E25" s="73">
        <v>0</v>
      </c>
      <c r="F25" s="73">
        <v>0.5</v>
      </c>
      <c r="G25" s="73">
        <v>0.75</v>
      </c>
      <c r="H25" s="73">
        <v>0.9</v>
      </c>
      <c r="I25" s="73">
        <v>0.9</v>
      </c>
      <c r="J25" s="73">
        <v>0.9</v>
      </c>
      <c r="K25" s="73">
        <v>0.9</v>
      </c>
      <c r="L25" s="73">
        <v>0.9</v>
      </c>
      <c r="M25" s="73">
        <v>0.9</v>
      </c>
      <c r="N25" s="73">
        <v>0.9</v>
      </c>
      <c r="O25" s="73">
        <v>0.9</v>
      </c>
      <c r="P25" s="73">
        <v>0.9</v>
      </c>
      <c r="Q25" s="73">
        <v>0.9</v>
      </c>
      <c r="R25" s="73">
        <v>0.9</v>
      </c>
      <c r="S25" s="82">
        <v>0.9</v>
      </c>
      <c r="T25" s="73">
        <v>0.9</v>
      </c>
      <c r="U25" s="73">
        <v>0.9</v>
      </c>
      <c r="V25" s="73">
        <v>0.9</v>
      </c>
      <c r="W25" s="73">
        <v>0.9</v>
      </c>
      <c r="X25" s="73">
        <v>0.9</v>
      </c>
      <c r="Y25" s="73">
        <v>0.9</v>
      </c>
      <c r="Z25" s="73">
        <v>0.9</v>
      </c>
      <c r="AA25" s="73">
        <v>0.9</v>
      </c>
      <c r="AB25" s="73">
        <v>0.9</v>
      </c>
      <c r="AC25" s="73">
        <v>0.9</v>
      </c>
      <c r="AD25" s="73">
        <v>0.9</v>
      </c>
      <c r="AE25" s="73">
        <v>0.75</v>
      </c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</row>
    <row r="26" spans="1:254">
      <c r="A26" s="102" t="s">
        <v>93</v>
      </c>
      <c r="B26" s="55"/>
      <c r="C26" s="19"/>
      <c r="D26" s="19"/>
      <c r="E26" s="19"/>
      <c r="F26" s="61">
        <f>SELL*AnnCap/1000*F25</f>
        <v>93217.917097453639</v>
      </c>
      <c r="G26" s="61">
        <f>SELL*AnnCap/1000*G25*(1+SPINFL)</f>
        <v>142623.41315910409</v>
      </c>
      <c r="H26" s="61">
        <f>SELL*AnnCap/1000*H25*(1+SPINFL)^H23</f>
        <v>174571.05770674339</v>
      </c>
      <c r="I26" s="61">
        <f t="shared" ref="I26:U26" si="0">SELL*AnnCap/1000*I25*(1+SPINFL)^I23</f>
        <v>178062.47886087824</v>
      </c>
      <c r="J26" s="61">
        <f t="shared" si="0"/>
        <v>181623.7284380958</v>
      </c>
      <c r="K26" s="61">
        <f t="shared" si="0"/>
        <v>185256.20300685774</v>
      </c>
      <c r="L26" s="61">
        <f t="shared" si="0"/>
        <v>188961.32706699491</v>
      </c>
      <c r="M26" s="61">
        <f t="shared" si="0"/>
        <v>192740.55360833477</v>
      </c>
      <c r="N26" s="61">
        <f t="shared" si="0"/>
        <v>196595.36468050146</v>
      </c>
      <c r="O26" s="61">
        <f t="shared" si="0"/>
        <v>200527.2719741115</v>
      </c>
      <c r="P26" s="61">
        <f t="shared" si="0"/>
        <v>204537.81741359373</v>
      </c>
      <c r="Q26" s="61">
        <f t="shared" si="0"/>
        <v>208628.57376186558</v>
      </c>
      <c r="R26" s="61">
        <f t="shared" si="0"/>
        <v>212801.14523710293</v>
      </c>
      <c r="S26" s="83">
        <f t="shared" si="0"/>
        <v>217057.16814184497</v>
      </c>
      <c r="T26" s="83">
        <f t="shared" si="0"/>
        <v>221398.31150468189</v>
      </c>
      <c r="U26" s="83">
        <f t="shared" si="0"/>
        <v>225826.27773477547</v>
      </c>
      <c r="V26" s="61">
        <f t="shared" ref="V26:AE26" si="1">SELL*AnnCap/1000*V25*(1+SPINFL)^V23</f>
        <v>230342.80328947102</v>
      </c>
      <c r="W26" s="61">
        <f t="shared" si="1"/>
        <v>234949.65935526046</v>
      </c>
      <c r="X26" s="61">
        <f t="shared" si="1"/>
        <v>239648.65254236563</v>
      </c>
      <c r="Y26" s="61">
        <f t="shared" si="1"/>
        <v>244441.62559321293</v>
      </c>
      <c r="Z26" s="61">
        <f t="shared" si="1"/>
        <v>249330.45810507721</v>
      </c>
      <c r="AA26" s="61">
        <f t="shared" si="1"/>
        <v>254317.06726717873</v>
      </c>
      <c r="AB26" s="61">
        <f t="shared" si="1"/>
        <v>259403.40861252233</v>
      </c>
      <c r="AC26" s="61">
        <f t="shared" si="1"/>
        <v>264591.47678477276</v>
      </c>
      <c r="AD26" s="61">
        <f t="shared" si="1"/>
        <v>269883.3063204682</v>
      </c>
      <c r="AE26" s="61">
        <f t="shared" si="1"/>
        <v>229400.810372398</v>
      </c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</row>
    <row r="27" spans="1:254">
      <c r="A27" s="102" t="s">
        <v>153</v>
      </c>
      <c r="B27" s="55"/>
      <c r="C27" s="19"/>
      <c r="D27" s="19"/>
      <c r="E27" s="19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83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111">
        <f>salvage</f>
        <v>14390</v>
      </c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</row>
    <row r="28" spans="1:254">
      <c r="A28" s="102" t="s">
        <v>31</v>
      </c>
      <c r="B28" s="55"/>
      <c r="C28" s="19"/>
      <c r="D28" s="19"/>
      <c r="E28" s="19"/>
      <c r="F28" s="60">
        <f>-VARIABLE*F25</f>
        <v>-67523.762136367994</v>
      </c>
      <c r="G28" s="60">
        <f>-VARIABLE*(1+INFL)*G25</f>
        <v>-103311.35606864304</v>
      </c>
      <c r="H28" s="60">
        <f t="shared" ref="H28:S28" si="2">-VARIABLE*(1+INFL)^H23*H25</f>
        <v>-126453.09982801905</v>
      </c>
      <c r="I28" s="60">
        <f t="shared" si="2"/>
        <v>-128982.16182457945</v>
      </c>
      <c r="J28" s="60">
        <f t="shared" si="2"/>
        <v>-131561.80506107103</v>
      </c>
      <c r="K28" s="60">
        <f t="shared" si="2"/>
        <v>-134193.04116229247</v>
      </c>
      <c r="L28" s="60">
        <f t="shared" si="2"/>
        <v>-136876.90198553834</v>
      </c>
      <c r="M28" s="60">
        <f t="shared" si="2"/>
        <v>-139614.44002524906</v>
      </c>
      <c r="N28" s="60">
        <f t="shared" si="2"/>
        <v>-142406.72882575405</v>
      </c>
      <c r="O28" s="60">
        <f t="shared" si="2"/>
        <v>-145254.86340226911</v>
      </c>
      <c r="P28" s="60">
        <f t="shared" si="2"/>
        <v>-148159.96067031453</v>
      </c>
      <c r="Q28" s="60">
        <f t="shared" si="2"/>
        <v>-151123.1598837208</v>
      </c>
      <c r="R28" s="60">
        <f t="shared" si="2"/>
        <v>-154145.62308139523</v>
      </c>
      <c r="S28" s="84">
        <f t="shared" si="2"/>
        <v>-157228.53554302311</v>
      </c>
      <c r="T28" s="84">
        <f t="shared" ref="T28:U28" si="3">-VARIABLE*(1+INFL)^T23*T25</f>
        <v>-160373.1062538836</v>
      </c>
      <c r="U28" s="84">
        <f t="shared" si="3"/>
        <v>-163580.56837896124</v>
      </c>
      <c r="V28" s="60">
        <f t="shared" ref="V28:AD28" si="4">-VARIABLE*(1+INFL)^V23*V25</f>
        <v>-166852.17974654047</v>
      </c>
      <c r="W28" s="60">
        <f t="shared" si="4"/>
        <v>-170189.22334147128</v>
      </c>
      <c r="X28" s="60">
        <f t="shared" si="4"/>
        <v>-173593.00780830072</v>
      </c>
      <c r="Y28" s="60">
        <f t="shared" si="4"/>
        <v>-177064.86796446671</v>
      </c>
      <c r="Z28" s="60">
        <f t="shared" si="4"/>
        <v>-180606.16532375605</v>
      </c>
      <c r="AA28" s="60">
        <f t="shared" si="4"/>
        <v>-184218.2886302312</v>
      </c>
      <c r="AB28" s="60">
        <f t="shared" si="4"/>
        <v>-187902.65440283582</v>
      </c>
      <c r="AC28" s="60">
        <f t="shared" si="4"/>
        <v>-191660.7074908925</v>
      </c>
      <c r="AD28" s="60">
        <f t="shared" si="4"/>
        <v>-195493.92164071035</v>
      </c>
      <c r="AE28" s="60">
        <f t="shared" ref="AE28" si="5">-VARIABLE*(1+INFL)^AE23*AE25</f>
        <v>-166169.8333946038</v>
      </c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</row>
    <row r="29" spans="1:254">
      <c r="A29" s="102" t="s">
        <v>61</v>
      </c>
      <c r="B29" s="55"/>
      <c r="C29" s="55"/>
      <c r="D29" s="55"/>
      <c r="E29" s="19"/>
      <c r="F29" s="60">
        <f>-FIXED</f>
        <v>-21591.5</v>
      </c>
      <c r="G29" s="60">
        <f>-FIXED*(1+INFL)</f>
        <v>-22023.33</v>
      </c>
      <c r="H29" s="20">
        <f t="shared" ref="H29:O32" si="6">G29*(1+INFL)</f>
        <v>-22463.796600000001</v>
      </c>
      <c r="I29" s="20">
        <f t="shared" si="6"/>
        <v>-22913.072532000002</v>
      </c>
      <c r="J29" s="20">
        <f t="shared" si="6"/>
        <v>-23371.333982640001</v>
      </c>
      <c r="K29" s="20">
        <f t="shared" si="6"/>
        <v>-23838.7606622928</v>
      </c>
      <c r="L29" s="20">
        <f t="shared" si="6"/>
        <v>-24315.535875538655</v>
      </c>
      <c r="M29" s="20">
        <f t="shared" si="6"/>
        <v>-24801.846593049428</v>
      </c>
      <c r="N29" s="20">
        <f t="shared" si="6"/>
        <v>-25297.883524910416</v>
      </c>
      <c r="O29" s="20">
        <f t="shared" si="6"/>
        <v>-25803.841195408626</v>
      </c>
      <c r="P29" s="20">
        <f t="shared" ref="P29:U29" si="7">O29*(1+INFL)</f>
        <v>-26319.918019316799</v>
      </c>
      <c r="Q29" s="20">
        <f t="shared" si="7"/>
        <v>-26846.316379703137</v>
      </c>
      <c r="R29" s="20">
        <f t="shared" si="7"/>
        <v>-27383.242707297202</v>
      </c>
      <c r="S29" s="85">
        <f t="shared" si="7"/>
        <v>-27930.907561443146</v>
      </c>
      <c r="T29" s="85">
        <f t="shared" si="7"/>
        <v>-28489.52571267201</v>
      </c>
      <c r="U29" s="85">
        <f t="shared" si="7"/>
        <v>-29059.31622692545</v>
      </c>
      <c r="V29" s="20">
        <f t="shared" ref="V29" si="8">U29*(1+INFL)</f>
        <v>-29640.50255146396</v>
      </c>
      <c r="W29" s="20">
        <f t="shared" ref="W29" si="9">V29*(1+INFL)</f>
        <v>-30233.312602493239</v>
      </c>
      <c r="X29" s="20">
        <f t="shared" ref="X29" si="10">W29*(1+INFL)</f>
        <v>-30837.978854543104</v>
      </c>
      <c r="Y29" s="20">
        <f t="shared" ref="Y29" si="11">X29*(1+INFL)</f>
        <v>-31454.738431633967</v>
      </c>
      <c r="Z29" s="20">
        <f t="shared" ref="Z29" si="12">Y29*(1+INFL)</f>
        <v>-32083.833200266647</v>
      </c>
      <c r="AA29" s="20">
        <f t="shared" ref="AA29" si="13">Z29*(1+INFL)</f>
        <v>-32725.509864271979</v>
      </c>
      <c r="AB29" s="20">
        <f t="shared" ref="AB29" si="14">AA29*(1+INFL)</f>
        <v>-33380.020061557421</v>
      </c>
      <c r="AC29" s="20">
        <f>AB29*(1+INFL)</f>
        <v>-34047.620462788567</v>
      </c>
      <c r="AD29" s="20">
        <f>AC29*(1+INFL)</f>
        <v>-34728.572872044337</v>
      </c>
      <c r="AE29" s="20">
        <f>AD29*(1+INFL)</f>
        <v>-35423.144329485222</v>
      </c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</row>
    <row r="30" spans="1:254">
      <c r="A30" s="102" t="s">
        <v>102</v>
      </c>
      <c r="B30" s="55"/>
      <c r="C30" s="19"/>
      <c r="D30" s="19"/>
      <c r="E30" s="19"/>
      <c r="F30" s="20">
        <f>-YEAR1*TOTINVEST</f>
        <v>-28780</v>
      </c>
      <c r="G30" s="20">
        <f>-(YEAR2*TOTINVEST)+YEAR1*F32</f>
        <v>-46911.4</v>
      </c>
      <c r="H30" s="20">
        <f>-(YEAR3*TOTINVEST)+YEAR1*G32+YEAR2*F32</f>
        <v>-29082.19</v>
      </c>
      <c r="I30" s="20">
        <f>-(YEAR4*TOTINVEST)+YEAR1*H32+YEAR2*G32+YEAR3*F32</f>
        <v>-19030.774999999998</v>
      </c>
      <c r="J30" s="20">
        <f>-(YEAR5*TOTINVEST)+YEAR1*I32+YEAR2*H32+YEAR3*G32+YEAR4*F32</f>
        <v>-19089.198400000001</v>
      </c>
      <c r="K30" s="20">
        <f>-(YEAR6*TOTINVEST)+YEAR1*J32+YEAR2*I32+YEAR3*H32+YEAR4*G32+YEAR5*F32</f>
        <v>-9258.1115680000003</v>
      </c>
      <c r="L30" s="20">
        <f t="shared" ref="L30:S30" si="15">YEAR1*K32+YEAR2*J32+YEAR3*I32+YEAR4*H32+YEAR5*G32+YEAR6*F32</f>
        <v>-2007.6729993600002</v>
      </c>
      <c r="M30" s="20">
        <f t="shared" si="15"/>
        <v>-1917.5969593472</v>
      </c>
      <c r="N30" s="20">
        <f t="shared" si="15"/>
        <v>-1955.9488985341443</v>
      </c>
      <c r="O30" s="20">
        <f t="shared" si="15"/>
        <v>-1995.0678765048274</v>
      </c>
      <c r="P30" s="20">
        <f t="shared" si="15"/>
        <v>-2034.9692340349236</v>
      </c>
      <c r="Q30" s="20">
        <f t="shared" si="15"/>
        <v>-2075.6686187156224</v>
      </c>
      <c r="R30" s="20">
        <f t="shared" si="15"/>
        <v>-2117.1819910899349</v>
      </c>
      <c r="S30" s="85">
        <f t="shared" si="15"/>
        <v>-2159.5256309117335</v>
      </c>
      <c r="T30" s="85">
        <f t="shared" ref="T30" si="16">YEAR1*S32+YEAR2*R32+YEAR3*Q32+YEAR4*P32+YEAR5*O32+YEAR6*N32</f>
        <v>-2202.7161435299686</v>
      </c>
      <c r="U30" s="85">
        <f t="shared" ref="U30" si="17">YEAR1*T32+YEAR2*S32+YEAR3*R32+YEAR4*Q32+YEAR5*P32+YEAR6*O32</f>
        <v>-2246.7704664005678</v>
      </c>
      <c r="V30" s="85">
        <f t="shared" ref="V30" si="18">YEAR1*U32+YEAR2*T32+YEAR3*S32+YEAR4*R32+YEAR5*Q32+YEAR6*P32</f>
        <v>-2291.7058757285795</v>
      </c>
      <c r="W30" s="85">
        <f t="shared" ref="W30" si="19">YEAR1*V32+YEAR2*U32+YEAR3*T32+YEAR4*S32+YEAR5*R32+YEAR6*Q32</f>
        <v>-2337.5399932431505</v>
      </c>
      <c r="X30" s="85">
        <f t="shared" ref="X30" si="20">YEAR1*W32+YEAR2*V32+YEAR3*U32+YEAR4*T32+YEAR5*S32+YEAR6*R32</f>
        <v>-2384.290793108014</v>
      </c>
      <c r="Y30" s="85">
        <f t="shared" ref="Y30" si="21">YEAR1*X32+YEAR2*W32+YEAR3*V32+YEAR4*U32+YEAR5*T32+YEAR6*S32</f>
        <v>-2431.9766089701743</v>
      </c>
      <c r="Z30" s="85">
        <f t="shared" ref="Z30" si="22">YEAR1*Y32+YEAR2*X32+YEAR3*W32+YEAR4*V32+YEAR5*U32+YEAR6*T32</f>
        <v>-2480.6161411495777</v>
      </c>
      <c r="AA30" s="85">
        <f t="shared" ref="AA30" si="23">YEAR1*Z32+YEAR2*Y32+YEAR3*X32+YEAR4*W32+YEAR5*V32+YEAR6*U32</f>
        <v>-2530.228463972569</v>
      </c>
      <c r="AB30" s="85">
        <f t="shared" ref="AB30" si="24">YEAR1*AA32+YEAR2*Z32+YEAR3*Y32+YEAR4*X32+YEAR5*W32+YEAR6*V32</f>
        <v>-2580.8330332520209</v>
      </c>
      <c r="AC30" s="85">
        <f t="shared" ref="AC30" si="25">YEAR1*AB32+YEAR2*AA32+YEAR3*Z32+YEAR4*Y32+YEAR5*X32+YEAR6*W32</f>
        <v>-2632.4496939170613</v>
      </c>
      <c r="AD30" s="85">
        <f t="shared" ref="AD30" si="26">YEAR1*AC32+YEAR2*AB32+YEAR3*AA32+YEAR4*Z32+YEAR5*Y32+YEAR6*X32</f>
        <v>-2685.0986877954019</v>
      </c>
      <c r="AE30" s="20">
        <f>-(YEAR2*TOTINVEST)+YEAR1*AD32</f>
        <v>-46615.289510292852</v>
      </c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</row>
    <row r="31" spans="1:254">
      <c r="A31" s="102"/>
      <c r="B31" s="55"/>
      <c r="C31" s="19"/>
      <c r="D31" s="19"/>
      <c r="E31" s="19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112"/>
      <c r="AF31" s="56"/>
      <c r="AG31" s="56"/>
      <c r="AH31" s="81"/>
      <c r="AI31" s="81"/>
      <c r="AJ31" s="81"/>
      <c r="AK31" s="81"/>
      <c r="AL31" s="81"/>
      <c r="AM31" s="81"/>
      <c r="AN31" s="81"/>
      <c r="AO31" s="81"/>
      <c r="AP31" s="81"/>
      <c r="AQ31" s="81"/>
    </row>
    <row r="32" spans="1:254">
      <c r="A32" s="102" t="s">
        <v>95</v>
      </c>
      <c r="B32" s="63"/>
      <c r="C32" s="63">
        <f>-TOTINVEST*0.33</f>
        <v>-47487</v>
      </c>
      <c r="D32" s="63">
        <f>-TOTINVEST*0.33</f>
        <v>-47487</v>
      </c>
      <c r="E32" s="63">
        <f>-TOTINVEST-C32-D32</f>
        <v>-48926</v>
      </c>
      <c r="F32" s="105">
        <f>-yr1_replace_factor*TOTINVEST</f>
        <v>-4317</v>
      </c>
      <c r="G32" s="62">
        <f>-replace_factor*TOTINVEST</f>
        <v>-1798.75</v>
      </c>
      <c r="H32" s="62">
        <f t="shared" si="6"/>
        <v>-1834.7250000000001</v>
      </c>
      <c r="I32" s="62">
        <f t="shared" si="6"/>
        <v>-1871.4195000000002</v>
      </c>
      <c r="J32" s="62">
        <f t="shared" si="6"/>
        <v>-1908.8478900000002</v>
      </c>
      <c r="K32" s="62">
        <f t="shared" si="6"/>
        <v>-1947.0248478000003</v>
      </c>
      <c r="L32" s="62">
        <f t="shared" si="6"/>
        <v>-1985.9653447560004</v>
      </c>
      <c r="M32" s="62">
        <f t="shared" si="6"/>
        <v>-2025.6846516511205</v>
      </c>
      <c r="N32" s="62">
        <f t="shared" si="6"/>
        <v>-2066.1983446841427</v>
      </c>
      <c r="O32" s="62">
        <f t="shared" si="6"/>
        <v>-2107.5223115778258</v>
      </c>
      <c r="P32" s="62">
        <f t="shared" ref="P32:U32" si="27">O32*(1+INFL)</f>
        <v>-2149.6727578093823</v>
      </c>
      <c r="Q32" s="62">
        <f t="shared" si="27"/>
        <v>-2192.6662129655701</v>
      </c>
      <c r="R32" s="62">
        <f t="shared" si="27"/>
        <v>-2236.5195372248818</v>
      </c>
      <c r="S32" s="86">
        <f t="shared" si="27"/>
        <v>-2281.2499279693793</v>
      </c>
      <c r="T32" s="86">
        <f t="shared" si="27"/>
        <v>-2326.874926528767</v>
      </c>
      <c r="U32" s="86">
        <f t="shared" si="27"/>
        <v>-2373.4124250593422</v>
      </c>
      <c r="V32" s="62">
        <f t="shared" ref="V32" si="28">U32*(1+INFL)</f>
        <v>-2420.880673560529</v>
      </c>
      <c r="W32" s="62">
        <f t="shared" ref="W32" si="29">V32*(1+INFL)</f>
        <v>-2469.2982870317396</v>
      </c>
      <c r="X32" s="62">
        <f t="shared" ref="X32" si="30">W32*(1+INFL)</f>
        <v>-2518.6842527723743</v>
      </c>
      <c r="Y32" s="62">
        <f t="shared" ref="Y32" si="31">X32*(1+INFL)</f>
        <v>-2569.0579378278217</v>
      </c>
      <c r="Z32" s="62">
        <f t="shared" ref="Z32" si="32">Y32*(1+INFL)</f>
        <v>-2620.4390965843781</v>
      </c>
      <c r="AA32" s="62">
        <f t="shared" ref="AA32" si="33">Z32*(1+INFL)</f>
        <v>-2672.847878516066</v>
      </c>
      <c r="AB32" s="62">
        <f t="shared" ref="AB32" si="34">AA32*(1+INFL)</f>
        <v>-2726.3048360863872</v>
      </c>
      <c r="AC32" s="62">
        <f>AB32*(1+INFL)</f>
        <v>-2780.830932808115</v>
      </c>
      <c r="AD32" s="62">
        <f>AC32*(1+INFL)</f>
        <v>-2836.4475514642772</v>
      </c>
      <c r="AE32" s="62">
        <f>AD32*(1+INFL)</f>
        <v>-2893.176502493563</v>
      </c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</row>
    <row r="33" spans="1:43">
      <c r="A33" s="102" t="s">
        <v>103</v>
      </c>
      <c r="B33" s="63">
        <v>0</v>
      </c>
      <c r="C33" s="56"/>
      <c r="D33" s="56"/>
      <c r="E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81"/>
      <c r="AI33" s="81"/>
      <c r="AJ33" s="81"/>
      <c r="AK33" s="81"/>
      <c r="AL33" s="81"/>
      <c r="AM33" s="81"/>
      <c r="AN33" s="81"/>
      <c r="AO33" s="81"/>
      <c r="AP33" s="81"/>
      <c r="AQ33" s="81"/>
    </row>
    <row r="34" spans="1:43">
      <c r="A34" t="s">
        <v>24</v>
      </c>
      <c r="B34" s="56"/>
      <c r="C34" s="56"/>
      <c r="D34" s="56"/>
      <c r="E34" s="62">
        <f>-WORKCAP</f>
        <v>-3597.5</v>
      </c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63">
        <f>(1+INFL)^(1+AE23)*WORKCAP</f>
        <v>6020.1216663886025</v>
      </c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</row>
    <row r="35" spans="1:43">
      <c r="A35" t="s">
        <v>147</v>
      </c>
      <c r="B35" s="59">
        <v>30</v>
      </c>
      <c r="C35" s="56"/>
      <c r="D35" s="56"/>
      <c r="E35" s="57"/>
      <c r="F35" s="62">
        <f>-Days/333*F26</f>
        <v>-8398.0105493201481</v>
      </c>
      <c r="G35" s="63">
        <f>-Days/333*G26-SUM($F$35:F35)</f>
        <v>-4450.9455911396799</v>
      </c>
      <c r="H35" s="63">
        <f>-Days/333*H26-SUM($F$35:G35)</f>
        <v>-2878.1661754629986</v>
      </c>
      <c r="I35" s="63">
        <f>-Days/333*I26-SUM($F$35:H35)</f>
        <v>-314.5424463184554</v>
      </c>
      <c r="J35" s="63">
        <f>-Days/333*J26-SUM($F$35:I35)</f>
        <v>-320.83329524482542</v>
      </c>
      <c r="K35" s="63">
        <f>-Days/333*K26-SUM($F$35:J35)</f>
        <v>-327.249961149726</v>
      </c>
      <c r="L35" s="63">
        <f>-Days/333*L26-SUM($F$35:K35)</f>
        <v>-333.79496037271747</v>
      </c>
      <c r="M35" s="63">
        <f>-Days/333*M26-SUM($F$35:L35)</f>
        <v>-340.4708595801676</v>
      </c>
      <c r="N35" s="63">
        <f>-Days/333*N26-SUM($F$35:M35)</f>
        <v>-347.28027677177306</v>
      </c>
      <c r="O35" s="63">
        <f>-Days/333*O26-SUM($F$35:N35)</f>
        <v>-354.22588230721158</v>
      </c>
      <c r="P35" s="63">
        <f>-Days/333*P26-SUM($F$35:O35)</f>
        <v>-361.31039995335232</v>
      </c>
      <c r="Q35" s="63">
        <f>-Days/333*Q26-SUM($F$35:P35)</f>
        <v>-368.53660795242104</v>
      </c>
      <c r="R35" s="63">
        <f>-Days/333*R26-SUM($F$35:Q35)</f>
        <v>-375.90734011147288</v>
      </c>
      <c r="S35" s="87">
        <f>-Days/333*S26-SUM($F$35:R35)</f>
        <v>-383.42548691369666</v>
      </c>
      <c r="T35" s="63">
        <f>-Days/333*T26-SUM($F$35:S35)</f>
        <v>-391.0939966519727</v>
      </c>
      <c r="U35" s="63">
        <f>-Days/333*U26-SUM($F$35:T35)</f>
        <v>-398.91587658500794</v>
      </c>
      <c r="V35" s="63">
        <f>-Days/333*V26-SUM($F$35:U35)</f>
        <v>-406.8941941167177</v>
      </c>
      <c r="W35" s="63">
        <f>-Days/333*W26-SUM($F$35:V35)</f>
        <v>-415.03207799904703</v>
      </c>
      <c r="X35" s="63">
        <f>-Days/333*X26-SUM($F$35:W35)</f>
        <v>-423.33271955902455</v>
      </c>
      <c r="Y35" s="63">
        <f>-Days/333*Y26-SUM($F$35:X35)</f>
        <v>-431.79937395020534</v>
      </c>
      <c r="Z35" s="63">
        <f>-Days/333*Z26-SUM($F$35:Y35)</f>
        <v>-440.43536142921585</v>
      </c>
      <c r="AA35" s="63">
        <f>-Days/333*AA26-SUM($F$35:Z35)</f>
        <v>-449.24406865779383</v>
      </c>
      <c r="AB35" s="63">
        <f>-Days/333*AB26-SUM($F$35:AA35)</f>
        <v>-458.22895003095618</v>
      </c>
      <c r="AC35" s="63">
        <f>-Days/333*AC26-SUM($F$35:AB35)</f>
        <v>-467.39352903157123</v>
      </c>
      <c r="AD35" s="63">
        <f>-Days/333*AD26-SUM($F$35:AC35)</f>
        <v>-476.74139961220135</v>
      </c>
      <c r="AE35" s="63">
        <f>-Days/333*AE26-SUM($F$35:AD35)</f>
        <v>3647.0717070333521</v>
      </c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</row>
    <row r="36" spans="1:43">
      <c r="B36" s="56"/>
      <c r="C36" s="56"/>
      <c r="D36" s="56"/>
      <c r="E36" s="58"/>
      <c r="F36" s="54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</row>
    <row r="37" spans="1:43">
      <c r="A37" t="s">
        <v>104</v>
      </c>
      <c r="B37" s="56"/>
      <c r="C37" s="56"/>
      <c r="D37" s="56"/>
      <c r="E37" s="20">
        <f>-0.15*TOTINVEST*0.2</f>
        <v>-4317</v>
      </c>
      <c r="F37" s="20">
        <f>-0.15*TOTINVEST*0.8</f>
        <v>-17268</v>
      </c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</row>
    <row r="38" spans="1:43"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</row>
    <row r="39" spans="1:43">
      <c r="A39" t="s">
        <v>105</v>
      </c>
      <c r="B39" s="19"/>
      <c r="C39" s="19"/>
      <c r="D39" s="19"/>
      <c r="E39" s="20">
        <f>E37</f>
        <v>-4317</v>
      </c>
      <c r="F39" s="20">
        <f t="shared" ref="F39:S39" si="35">SUM(F26:F30)+F37</f>
        <v>-41945.345038914355</v>
      </c>
      <c r="G39" s="20">
        <f t="shared" si="35"/>
        <v>-29622.672909538953</v>
      </c>
      <c r="H39" s="20">
        <f t="shared" si="35"/>
        <v>-3428.028721275663</v>
      </c>
      <c r="I39" s="20">
        <f t="shared" si="35"/>
        <v>7136.4695042987878</v>
      </c>
      <c r="J39" s="20">
        <f t="shared" si="35"/>
        <v>7601.3909943847648</v>
      </c>
      <c r="K39" s="20">
        <f t="shared" si="35"/>
        <v>17966.289614272471</v>
      </c>
      <c r="L39" s="20">
        <f t="shared" si="35"/>
        <v>25761.216206557918</v>
      </c>
      <c r="M39" s="20">
        <f t="shared" si="35"/>
        <v>26406.670030689082</v>
      </c>
      <c r="N39" s="20">
        <f t="shared" si="35"/>
        <v>26934.803431302847</v>
      </c>
      <c r="O39" s="20">
        <f t="shared" si="35"/>
        <v>27473.499499928934</v>
      </c>
      <c r="P39" s="20">
        <f t="shared" si="35"/>
        <v>28022.96948992748</v>
      </c>
      <c r="Q39" s="20">
        <f t="shared" si="35"/>
        <v>28583.428879726023</v>
      </c>
      <c r="R39" s="20">
        <f t="shared" si="35"/>
        <v>29155.097457320564</v>
      </c>
      <c r="S39" s="85">
        <f t="shared" si="35"/>
        <v>29738.199406466982</v>
      </c>
      <c r="T39" s="20">
        <f t="shared" ref="T39:AE39" si="36">SUM(T26:T30)+T37</f>
        <v>30332.963394596311</v>
      </c>
      <c r="U39" s="20">
        <f t="shared" si="36"/>
        <v>30939.622662488215</v>
      </c>
      <c r="V39" s="20">
        <f t="shared" si="36"/>
        <v>31558.415115738018</v>
      </c>
      <c r="W39" s="20">
        <f t="shared" si="36"/>
        <v>32189.583418052785</v>
      </c>
      <c r="X39" s="20">
        <f t="shared" si="36"/>
        <v>32833.375086413784</v>
      </c>
      <c r="Y39" s="20">
        <f t="shared" si="36"/>
        <v>33490.042588142074</v>
      </c>
      <c r="Z39" s="20">
        <f t="shared" si="36"/>
        <v>34159.843439904937</v>
      </c>
      <c r="AA39" s="20">
        <f t="shared" si="36"/>
        <v>34843.040308702984</v>
      </c>
      <c r="AB39" s="20">
        <f t="shared" si="36"/>
        <v>35539.901114877066</v>
      </c>
      <c r="AC39" s="20">
        <f t="shared" si="36"/>
        <v>36250.699137174634</v>
      </c>
      <c r="AD39" s="20">
        <f t="shared" si="36"/>
        <v>36975.713119918102</v>
      </c>
      <c r="AE39" s="20">
        <f t="shared" si="36"/>
        <v>-4417.4568619838756</v>
      </c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</row>
    <row r="40" spans="1:43"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</row>
    <row r="41" spans="1:43">
      <c r="A41" t="s">
        <v>106</v>
      </c>
      <c r="B41" s="93">
        <v>0.24</v>
      </c>
      <c r="C41" s="19"/>
      <c r="D41" s="19"/>
      <c r="E41" s="20">
        <f>-IncomeTax*E39</f>
        <v>1036.08</v>
      </c>
      <c r="F41" s="20">
        <f t="shared" ref="F41:O41" si="37">-IncomeTax*F39</f>
        <v>10066.882809339444</v>
      </c>
      <c r="G41" s="20">
        <f t="shared" si="37"/>
        <v>7109.4414982893486</v>
      </c>
      <c r="H41" s="20">
        <f t="shared" si="37"/>
        <v>822.72689310615908</v>
      </c>
      <c r="I41" s="20">
        <f t="shared" si="37"/>
        <v>-1712.752681031709</v>
      </c>
      <c r="J41" s="20">
        <f t="shared" si="37"/>
        <v>-1824.3338386523435</v>
      </c>
      <c r="K41" s="20">
        <f t="shared" si="37"/>
        <v>-4311.9095074253928</v>
      </c>
      <c r="L41" s="20">
        <f t="shared" si="37"/>
        <v>-6182.6918895739</v>
      </c>
      <c r="M41" s="20">
        <f t="shared" si="37"/>
        <v>-6337.6008073653793</v>
      </c>
      <c r="N41" s="20">
        <f t="shared" si="37"/>
        <v>-6464.3528235126832</v>
      </c>
      <c r="O41" s="20">
        <f t="shared" si="37"/>
        <v>-6593.639879982944</v>
      </c>
      <c r="P41" s="20">
        <f>-IncomeTax*P39</f>
        <v>-6725.5126775825947</v>
      </c>
      <c r="Q41" s="20">
        <f>-IncomeTax*Q39</f>
        <v>-6860.0229311342455</v>
      </c>
      <c r="R41" s="20">
        <f>-IncomeTax*R39</f>
        <v>-6997.2233897569349</v>
      </c>
      <c r="S41" s="85">
        <f>-IncomeTax*S39</f>
        <v>-7137.1678575520755</v>
      </c>
      <c r="T41" s="20">
        <f t="shared" ref="T41:AB41" si="38">-IncomeTax*T39</f>
        <v>-7279.9112147031146</v>
      </c>
      <c r="U41" s="20">
        <f t="shared" si="38"/>
        <v>-7425.5094389971709</v>
      </c>
      <c r="V41" s="20">
        <f t="shared" si="38"/>
        <v>-7574.0196277771238</v>
      </c>
      <c r="W41" s="20">
        <f t="shared" si="38"/>
        <v>-7725.5000203326681</v>
      </c>
      <c r="X41" s="20">
        <f t="shared" si="38"/>
        <v>-7880.0100207393079</v>
      </c>
      <c r="Y41" s="20">
        <f t="shared" si="38"/>
        <v>-8037.6102211540974</v>
      </c>
      <c r="Z41" s="20">
        <f t="shared" si="38"/>
        <v>-8198.3624255771847</v>
      </c>
      <c r="AA41" s="20">
        <f t="shared" si="38"/>
        <v>-8362.3296740887163</v>
      </c>
      <c r="AB41" s="20">
        <f t="shared" si="38"/>
        <v>-8529.5762675704955</v>
      </c>
      <c r="AC41" s="20">
        <f>-IncomeTax*AC39</f>
        <v>-8700.1677929219113</v>
      </c>
      <c r="AD41" s="20">
        <f>-IncomeTax*AD39</f>
        <v>-8874.1711487803441</v>
      </c>
      <c r="AE41" s="20">
        <f>-IncomeTax*AE39</f>
        <v>1060.1896468761302</v>
      </c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</row>
    <row r="42" spans="1:43">
      <c r="A42" t="s">
        <v>102</v>
      </c>
      <c r="B42" s="19"/>
      <c r="C42" s="19"/>
      <c r="D42" s="19"/>
      <c r="E42" s="19"/>
      <c r="F42" s="20">
        <f t="shared" ref="F42:O42" si="39">-F30</f>
        <v>28780</v>
      </c>
      <c r="G42" s="20">
        <f t="shared" si="39"/>
        <v>46911.4</v>
      </c>
      <c r="H42" s="20">
        <f t="shared" si="39"/>
        <v>29082.19</v>
      </c>
      <c r="I42" s="20">
        <f t="shared" si="39"/>
        <v>19030.774999999998</v>
      </c>
      <c r="J42" s="20">
        <f t="shared" si="39"/>
        <v>19089.198400000001</v>
      </c>
      <c r="K42" s="20">
        <f t="shared" si="39"/>
        <v>9258.1115680000003</v>
      </c>
      <c r="L42" s="20">
        <f t="shared" si="39"/>
        <v>2007.6729993600002</v>
      </c>
      <c r="M42" s="20">
        <f t="shared" si="39"/>
        <v>1917.5969593472</v>
      </c>
      <c r="N42" s="20">
        <f t="shared" si="39"/>
        <v>1955.9488985341443</v>
      </c>
      <c r="O42" s="20">
        <f t="shared" si="39"/>
        <v>1995.0678765048274</v>
      </c>
      <c r="P42" s="20">
        <f>-P30</f>
        <v>2034.9692340349236</v>
      </c>
      <c r="Q42" s="20">
        <f>-Q30</f>
        <v>2075.6686187156224</v>
      </c>
      <c r="R42" s="20">
        <f>-R30</f>
        <v>2117.1819910899349</v>
      </c>
      <c r="S42" s="85">
        <f>-S30</f>
        <v>2159.5256309117335</v>
      </c>
      <c r="T42" s="20">
        <f t="shared" ref="T42:AB42" si="40">-T30</f>
        <v>2202.7161435299686</v>
      </c>
      <c r="U42" s="20">
        <f t="shared" si="40"/>
        <v>2246.7704664005678</v>
      </c>
      <c r="V42" s="20">
        <f t="shared" si="40"/>
        <v>2291.7058757285795</v>
      </c>
      <c r="W42" s="20">
        <f t="shared" si="40"/>
        <v>2337.5399932431505</v>
      </c>
      <c r="X42" s="20">
        <f t="shared" si="40"/>
        <v>2384.290793108014</v>
      </c>
      <c r="Y42" s="20">
        <f t="shared" si="40"/>
        <v>2431.9766089701743</v>
      </c>
      <c r="Z42" s="20">
        <f t="shared" si="40"/>
        <v>2480.6161411495777</v>
      </c>
      <c r="AA42" s="20">
        <f t="shared" si="40"/>
        <v>2530.228463972569</v>
      </c>
      <c r="AB42" s="20">
        <f t="shared" si="40"/>
        <v>2580.8330332520209</v>
      </c>
      <c r="AC42" s="20">
        <f>-AC30</f>
        <v>2632.4496939170613</v>
      </c>
      <c r="AD42" s="20">
        <f>-AD30</f>
        <v>2685.0986877954019</v>
      </c>
      <c r="AE42" s="20">
        <f>-AE30</f>
        <v>46615.289510292852</v>
      </c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</row>
    <row r="43" spans="1:43"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</row>
    <row r="44" spans="1:43">
      <c r="A44" t="s">
        <v>107</v>
      </c>
      <c r="B44" s="20">
        <f>B32+B33</f>
        <v>0</v>
      </c>
      <c r="C44" s="20">
        <f>C32</f>
        <v>-47487</v>
      </c>
      <c r="D44" s="20">
        <f>D32</f>
        <v>-47487</v>
      </c>
      <c r="E44" s="20">
        <f>E39+E41+E34+E32</f>
        <v>-55804.42</v>
      </c>
      <c r="F44" s="20">
        <f t="shared" ref="F44:S44" si="41">F39+F41+F42+SUM(F32:F35)</f>
        <v>-15813.472778895059</v>
      </c>
      <c r="G44" s="20">
        <f t="shared" si="41"/>
        <v>18148.472997610719</v>
      </c>
      <c r="H44" s="20">
        <f t="shared" si="41"/>
        <v>21763.996996367496</v>
      </c>
      <c r="I44" s="20">
        <f t="shared" si="41"/>
        <v>22268.529876948618</v>
      </c>
      <c r="J44" s="20">
        <f t="shared" si="41"/>
        <v>22636.574370487597</v>
      </c>
      <c r="K44" s="20">
        <f t="shared" si="41"/>
        <v>20638.216865897353</v>
      </c>
      <c r="L44" s="20">
        <f t="shared" si="41"/>
        <v>19266.437011215301</v>
      </c>
      <c r="M44" s="20">
        <f t="shared" si="41"/>
        <v>19620.510671439613</v>
      </c>
      <c r="N44" s="20">
        <f t="shared" si="41"/>
        <v>20012.920884868392</v>
      </c>
      <c r="O44" s="20">
        <f t="shared" si="41"/>
        <v>20413.179302565783</v>
      </c>
      <c r="P44" s="20">
        <f t="shared" si="41"/>
        <v>20821.442888617075</v>
      </c>
      <c r="Q44" s="20">
        <f t="shared" si="41"/>
        <v>21237.87174638941</v>
      </c>
      <c r="R44" s="20">
        <f t="shared" si="41"/>
        <v>21662.62918131721</v>
      </c>
      <c r="S44" s="85">
        <f t="shared" si="41"/>
        <v>22095.881764943562</v>
      </c>
      <c r="T44" s="20">
        <f t="shared" ref="T44:AD44" si="42">T39+T41+T42+SUM(T32:T35)</f>
        <v>22537.799400242424</v>
      </c>
      <c r="U44" s="20">
        <f t="shared" si="42"/>
        <v>22988.555388247263</v>
      </c>
      <c r="V44" s="20">
        <f t="shared" si="42"/>
        <v>23448.326496012225</v>
      </c>
      <c r="W44" s="20">
        <f t="shared" si="42"/>
        <v>23917.293025932482</v>
      </c>
      <c r="X44" s="20">
        <f t="shared" si="42"/>
        <v>24395.638886451092</v>
      </c>
      <c r="Y44" s="20">
        <f t="shared" si="42"/>
        <v>24883.551664180122</v>
      </c>
      <c r="Z44" s="20">
        <f t="shared" si="42"/>
        <v>25381.222697463734</v>
      </c>
      <c r="AA44" s="20">
        <f t="shared" si="42"/>
        <v>25888.847151412978</v>
      </c>
      <c r="AB44" s="20">
        <f t="shared" si="42"/>
        <v>26406.624094441246</v>
      </c>
      <c r="AC44" s="20">
        <f t="shared" si="42"/>
        <v>26934.756576330095</v>
      </c>
      <c r="AD44" s="20">
        <f t="shared" si="42"/>
        <v>27473.451707856682</v>
      </c>
      <c r="AE44" s="20">
        <f t="shared" ref="AE44" si="43">AE39+AE41+AE42+SUM(AE32:AE35)</f>
        <v>50032.0391661135</v>
      </c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</row>
    <row r="45" spans="1:43">
      <c r="A45" s="165" t="s">
        <v>208</v>
      </c>
      <c r="B45" s="20">
        <f>B44</f>
        <v>0</v>
      </c>
      <c r="C45" s="20">
        <f>B45+C44</f>
        <v>-47487</v>
      </c>
      <c r="D45" s="20">
        <f>C45+D44</f>
        <v>-94974</v>
      </c>
      <c r="E45" s="20">
        <f t="shared" ref="E45" si="44">D45+E44</f>
        <v>-150778.41999999998</v>
      </c>
      <c r="F45" s="20">
        <f>D45+F44</f>
        <v>-110787.47277889505</v>
      </c>
      <c r="G45" s="20">
        <f t="shared" ref="G45:AE45" si="45">F45+G44</f>
        <v>-92638.999781284336</v>
      </c>
      <c r="H45" s="20">
        <f t="shared" si="45"/>
        <v>-70875.00278491684</v>
      </c>
      <c r="I45" s="20">
        <f t="shared" si="45"/>
        <v>-48606.472907968222</v>
      </c>
      <c r="J45" s="20">
        <f t="shared" si="45"/>
        <v>-25969.898537480625</v>
      </c>
      <c r="K45" s="20">
        <f t="shared" si="45"/>
        <v>-5331.681671583272</v>
      </c>
      <c r="L45" s="20">
        <f t="shared" si="45"/>
        <v>13934.755339632029</v>
      </c>
      <c r="M45" s="20">
        <f t="shared" si="45"/>
        <v>33555.266011071639</v>
      </c>
      <c r="N45" s="20">
        <f t="shared" si="45"/>
        <v>53568.186895940031</v>
      </c>
      <c r="O45" s="20">
        <f t="shared" si="45"/>
        <v>73981.366198505813</v>
      </c>
      <c r="P45" s="20">
        <f t="shared" si="45"/>
        <v>94802.809087122892</v>
      </c>
      <c r="Q45" s="20">
        <f t="shared" si="45"/>
        <v>116040.68083351231</v>
      </c>
      <c r="R45" s="20">
        <f t="shared" si="45"/>
        <v>137703.31001482951</v>
      </c>
      <c r="S45" s="20">
        <f t="shared" si="45"/>
        <v>159799.19177977307</v>
      </c>
      <c r="T45" s="20">
        <f t="shared" si="45"/>
        <v>182336.9911800155</v>
      </c>
      <c r="U45" s="20">
        <f t="shared" si="45"/>
        <v>205325.54656826277</v>
      </c>
      <c r="V45" s="20">
        <f t="shared" si="45"/>
        <v>228773.87306427499</v>
      </c>
      <c r="W45" s="20">
        <f t="shared" si="45"/>
        <v>252691.16609020747</v>
      </c>
      <c r="X45" s="20">
        <f t="shared" si="45"/>
        <v>277086.80497665855</v>
      </c>
      <c r="Y45" s="20">
        <f t="shared" si="45"/>
        <v>301970.35664083867</v>
      </c>
      <c r="Z45" s="20">
        <f t="shared" si="45"/>
        <v>327351.57933830243</v>
      </c>
      <c r="AA45" s="20">
        <f t="shared" si="45"/>
        <v>353240.42648971541</v>
      </c>
      <c r="AB45" s="20">
        <f t="shared" si="45"/>
        <v>379647.05058415665</v>
      </c>
      <c r="AC45" s="20">
        <f t="shared" si="45"/>
        <v>406581.80716048676</v>
      </c>
      <c r="AD45" s="20">
        <f t="shared" si="45"/>
        <v>434055.25886834343</v>
      </c>
      <c r="AE45" s="20">
        <f t="shared" si="45"/>
        <v>484087.29803445691</v>
      </c>
    </row>
    <row r="47" spans="1:43">
      <c r="B47" s="108"/>
      <c r="T47" s="3"/>
    </row>
    <row r="49" spans="1:16">
      <c r="J49" s="21" t="s">
        <v>150</v>
      </c>
    </row>
    <row r="50" spans="1:16">
      <c r="B50" s="4" t="s">
        <v>108</v>
      </c>
      <c r="C50" s="23">
        <f>NPV(CAP,B44:AE44)</f>
        <v>21463.310734723655</v>
      </c>
      <c r="D50" t="s">
        <v>159</v>
      </c>
      <c r="H50" s="190"/>
      <c r="J50" t="s">
        <v>109</v>
      </c>
      <c r="K50" s="113">
        <v>0.2</v>
      </c>
    </row>
    <row r="51" spans="1:16">
      <c r="B51" s="4" t="s">
        <v>108</v>
      </c>
      <c r="C51" s="23">
        <f>B44+NPV(CAP,C44:AE44)</f>
        <v>23287.692147175119</v>
      </c>
      <c r="D51" t="s">
        <v>160</v>
      </c>
      <c r="J51" t="s">
        <v>110</v>
      </c>
      <c r="K51" s="113">
        <v>0.32</v>
      </c>
    </row>
    <row r="52" spans="1:16">
      <c r="J52" t="s">
        <v>111</v>
      </c>
      <c r="K52" s="113">
        <v>0.19</v>
      </c>
    </row>
    <row r="53" spans="1:16">
      <c r="B53" s="4" t="s">
        <v>155</v>
      </c>
      <c r="C53" s="77">
        <v>0.16</v>
      </c>
      <c r="E53" s="4" t="s">
        <v>170</v>
      </c>
      <c r="F53" s="94">
        <f>NPV(C55,B44:AE44)</f>
        <v>1.3642420526593922E-11</v>
      </c>
      <c r="J53" t="s">
        <v>112</v>
      </c>
      <c r="K53" s="113">
        <v>0.12</v>
      </c>
    </row>
    <row r="54" spans="1:16">
      <c r="B54" s="4" t="s">
        <v>154</v>
      </c>
      <c r="C54" s="78">
        <f>IRR(B44:AE44,C53)</f>
        <v>0.10000000000000009</v>
      </c>
      <c r="J54" t="s">
        <v>113</v>
      </c>
      <c r="K54" s="113">
        <v>0.12</v>
      </c>
    </row>
    <row r="55" spans="1:16">
      <c r="B55" s="4" t="s">
        <v>149</v>
      </c>
      <c r="C55" s="79">
        <v>0.1</v>
      </c>
      <c r="J55" t="s">
        <v>114</v>
      </c>
      <c r="K55" s="114">
        <v>0.05</v>
      </c>
    </row>
    <row r="56" spans="1:16">
      <c r="F56" s="218">
        <f>C50*1000</f>
        <v>21463310.734723654</v>
      </c>
      <c r="K56" s="91"/>
    </row>
    <row r="57" spans="1:16">
      <c r="K57" s="91"/>
    </row>
    <row r="59" spans="1:16" ht="18">
      <c r="A59" s="33" t="s">
        <v>115</v>
      </c>
    </row>
    <row r="60" spans="1:16">
      <c r="L60" s="1"/>
      <c r="M60" s="1"/>
      <c r="N60" s="1"/>
      <c r="O60" s="1"/>
      <c r="P60" s="1"/>
    </row>
    <row r="61" spans="1:16">
      <c r="A61" t="s">
        <v>116</v>
      </c>
      <c r="C61" s="42">
        <f>H26</f>
        <v>174571.05770674339</v>
      </c>
      <c r="D61" t="s">
        <v>161</v>
      </c>
    </row>
    <row r="62" spans="1:16">
      <c r="A62" t="s">
        <v>117</v>
      </c>
      <c r="C62" s="42">
        <f>H28</f>
        <v>-126453.09982801905</v>
      </c>
      <c r="M62" s="1"/>
      <c r="N62" s="1"/>
      <c r="O62" s="1"/>
    </row>
    <row r="63" spans="1:16" ht="14" thickBot="1">
      <c r="A63" t="s">
        <v>118</v>
      </c>
      <c r="C63" s="43">
        <f>-'FIXED COST'!I46*(1+'CASH FLOW'!G11)^2</f>
        <v>-22463.796600000001</v>
      </c>
      <c r="F63" s="4" t="s">
        <v>119</v>
      </c>
      <c r="G63" s="191">
        <f>C66/C68</f>
        <v>0.11394180220015114</v>
      </c>
    </row>
    <row r="64" spans="1:16">
      <c r="A64" t="s">
        <v>120</v>
      </c>
      <c r="C64" s="42">
        <f>C61+C62+C63</f>
        <v>25654.161278724336</v>
      </c>
    </row>
    <row r="65" spans="1:9" ht="14" thickBot="1">
      <c r="A65" t="s">
        <v>121</v>
      </c>
      <c r="C65" s="43">
        <f>-IncomeTax*C64</f>
        <v>-6156.9987068938408</v>
      </c>
      <c r="F65" s="4" t="s">
        <v>122</v>
      </c>
      <c r="G65" s="70">
        <f>IF(G63&gt;0,1/G63,"")</f>
        <v>8.7764102435679536</v>
      </c>
      <c r="H65" t="s">
        <v>123</v>
      </c>
    </row>
    <row r="66" spans="1:9">
      <c r="A66" t="s">
        <v>124</v>
      </c>
      <c r="C66" s="42">
        <f>C64+C65</f>
        <v>19497.162571830493</v>
      </c>
      <c r="I66" s="3"/>
    </row>
    <row r="67" spans="1:9">
      <c r="I67" s="3"/>
    </row>
    <row r="68" spans="1:9">
      <c r="A68" t="s">
        <v>131</v>
      </c>
      <c r="C68" s="42">
        <f>-SUM(B32:H35)-B35</f>
        <v>171115.09731592285</v>
      </c>
      <c r="D68" t="s">
        <v>161</v>
      </c>
      <c r="I68" s="3"/>
    </row>
    <row r="69" spans="1:9">
      <c r="A69" t="s">
        <v>132</v>
      </c>
      <c r="I69" s="3"/>
    </row>
    <row r="71" spans="1:9">
      <c r="A71" s="80"/>
      <c r="B71" s="80"/>
    </row>
    <row r="72" spans="1:9">
      <c r="B72" s="50"/>
    </row>
    <row r="77" spans="1:9">
      <c r="B77" s="50"/>
    </row>
    <row r="78" spans="1:9">
      <c r="B78" s="50"/>
    </row>
    <row r="81" spans="2:2">
      <c r="B81" s="50"/>
    </row>
    <row r="87" spans="2:2">
      <c r="B87" s="89"/>
    </row>
    <row r="89" spans="2:2">
      <c r="B89" s="89"/>
    </row>
    <row r="90" spans="2:2">
      <c r="B90" s="89"/>
    </row>
    <row r="91" spans="2:2">
      <c r="B91" s="89"/>
    </row>
    <row r="92" spans="2:2">
      <c r="B92" s="90"/>
    </row>
    <row r="93" spans="2:2">
      <c r="B93" s="90"/>
    </row>
  </sheetData>
  <phoneticPr fontId="16" type="noConversion"/>
  <pageMargins left="0.5" right="0.5" top="1" bottom="1" header="0.5" footer="0.5"/>
  <pageSetup scale="52" orientation="landscape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oSensitivityAnalysis">
                <anchor moveWithCells="1" sizeWithCells="1">
                  <from>
                    <xdr:col>10</xdr:col>
                    <xdr:colOff>266700</xdr:colOff>
                    <xdr:row>5</xdr:row>
                    <xdr:rowOff>76200</xdr:rowOff>
                  </from>
                  <to>
                    <xdr:col>12</xdr:col>
                    <xdr:colOff>304800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5" name="Button 13">
              <controlPr defaultSize="0" print="0" autoFill="0" autoPict="0" macro="[0]!SetSellingPrice">
                <anchor moveWithCells="1" sizeWithCells="1">
                  <from>
                    <xdr:col>10</xdr:col>
                    <xdr:colOff>266700</xdr:colOff>
                    <xdr:row>7</xdr:row>
                    <xdr:rowOff>152400</xdr:rowOff>
                  </from>
                  <to>
                    <xdr:col>12</xdr:col>
                    <xdr:colOff>304800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4C6C4-8AEE-41F5-947F-6B9595009B58}">
  <dimension ref="A1:B111"/>
  <sheetViews>
    <sheetView topLeftCell="A101" workbookViewId="0">
      <selection activeCell="B111" sqref="B111"/>
    </sheetView>
  </sheetViews>
  <sheetFormatPr baseColWidth="10" defaultColWidth="8.83203125" defaultRowHeight="13"/>
  <cols>
    <col min="1" max="2" width="15.6640625" customWidth="1"/>
  </cols>
  <sheetData>
    <row r="1" spans="1:2" ht="25">
      <c r="A1" s="216" t="s">
        <v>409</v>
      </c>
    </row>
    <row r="7" spans="1:2">
      <c r="A7" s="217" t="s">
        <v>405</v>
      </c>
      <c r="B7" s="217" t="s">
        <v>406</v>
      </c>
    </row>
    <row r="8" spans="1:2">
      <c r="A8" s="217" t="s">
        <v>408</v>
      </c>
      <c r="B8" s="217" t="s">
        <v>407</v>
      </c>
    </row>
    <row r="11" spans="1:2">
      <c r="A11" s="217">
        <v>70950</v>
      </c>
      <c r="B11" s="217">
        <v>0.26031097923925489</v>
      </c>
    </row>
    <row r="12" spans="1:2">
      <c r="A12" s="217">
        <v>72368.998646736145</v>
      </c>
      <c r="B12" s="217">
        <v>0.2550402415508673</v>
      </c>
    </row>
    <row r="13" spans="1:2">
      <c r="A13" s="217">
        <v>73788.001522421837</v>
      </c>
      <c r="B13" s="217">
        <v>0.24993898731980607</v>
      </c>
    </row>
    <row r="14" spans="1:2">
      <c r="A14" s="217">
        <v>75207.000169157982</v>
      </c>
      <c r="B14" s="217">
        <v>0.24499920012563928</v>
      </c>
    </row>
    <row r="15" spans="1:2">
      <c r="A15" s="217">
        <v>76625.998815894127</v>
      </c>
      <c r="B15" s="217">
        <v>0.24021331913126562</v>
      </c>
    </row>
    <row r="16" spans="1:2">
      <c r="A16" s="217">
        <v>78045.001691579819</v>
      </c>
      <c r="B16" s="217">
        <v>0.23557424830014609</v>
      </c>
    </row>
    <row r="17" spans="1:2">
      <c r="A17" s="217">
        <v>79464.000338315964</v>
      </c>
      <c r="B17" s="217">
        <v>0.23107536083572344</v>
      </c>
    </row>
    <row r="18" spans="1:2">
      <c r="A18" s="217">
        <v>80882.998985052109</v>
      </c>
      <c r="B18" s="217">
        <v>0.22671038440990279</v>
      </c>
    </row>
    <row r="19" spans="1:2">
      <c r="A19" s="217">
        <v>82301.997631788254</v>
      </c>
      <c r="B19" s="217">
        <v>0.22247342783249519</v>
      </c>
    </row>
    <row r="20" spans="1:2">
      <c r="A20" s="217">
        <v>83721.000507473946</v>
      </c>
      <c r="B20" s="217">
        <v>0.21835892839809085</v>
      </c>
    </row>
    <row r="21" spans="1:2">
      <c r="A21" s="217">
        <v>85139.999154210091</v>
      </c>
      <c r="B21" s="217">
        <v>0.21436167630782332</v>
      </c>
    </row>
    <row r="22" spans="1:2">
      <c r="A22" s="217">
        <v>86558.997800946236</v>
      </c>
      <c r="B22" s="217">
        <v>0.21047671890467251</v>
      </c>
    </row>
    <row r="23" spans="1:2">
      <c r="A23" s="217">
        <v>87978.000676631927</v>
      </c>
      <c r="B23" s="217">
        <v>0.20669937859793433</v>
      </c>
    </row>
    <row r="24" spans="1:2">
      <c r="A24" s="217">
        <v>89396.999323368073</v>
      </c>
      <c r="B24" s="217">
        <v>0.2030252664290022</v>
      </c>
    </row>
    <row r="25" spans="1:2">
      <c r="A25" s="217">
        <v>90815.997970104218</v>
      </c>
      <c r="B25" s="217">
        <v>0.19945019736018516</v>
      </c>
    </row>
    <row r="26" spans="1:2">
      <c r="A26" s="217">
        <v>92235.000845789909</v>
      </c>
      <c r="B26" s="217">
        <v>0.19597020956027056</v>
      </c>
    </row>
    <row r="27" spans="1:2">
      <c r="A27" s="217">
        <v>93653.999492526054</v>
      </c>
      <c r="B27" s="217">
        <v>0.19258157961879849</v>
      </c>
    </row>
    <row r="28" spans="1:2">
      <c r="A28" s="217">
        <v>95072.998139262199</v>
      </c>
      <c r="B28" s="217">
        <v>0.18928074689834995</v>
      </c>
    </row>
    <row r="29" spans="1:2">
      <c r="A29" s="217">
        <v>96492.001014947891</v>
      </c>
      <c r="B29" s="217">
        <v>0.18606433341967746</v>
      </c>
    </row>
    <row r="30" spans="1:2">
      <c r="A30" s="217">
        <v>97910.999661684036</v>
      </c>
      <c r="B30" s="217">
        <v>0.18292915997401688</v>
      </c>
    </row>
    <row r="31" spans="1:2">
      <c r="A31" s="217">
        <v>99329.998308420181</v>
      </c>
      <c r="B31" s="217">
        <v>0.17987217801501831</v>
      </c>
    </row>
    <row r="32" spans="1:2">
      <c r="A32" s="217">
        <v>100749.00118410587</v>
      </c>
      <c r="B32" s="217">
        <v>0.17689048964026238</v>
      </c>
    </row>
    <row r="33" spans="1:2">
      <c r="A33" s="217">
        <v>102167.99983084202</v>
      </c>
      <c r="B33" s="217">
        <v>0.17398136409298923</v>
      </c>
    </row>
    <row r="34" spans="1:2">
      <c r="A34" s="217">
        <v>103586.99847757816</v>
      </c>
      <c r="B34" s="217">
        <v>0.1711421760072146</v>
      </c>
    </row>
    <row r="35" spans="1:2">
      <c r="A35" s="217">
        <v>105006.00135326385</v>
      </c>
      <c r="B35" s="217">
        <v>0.16837042515612632</v>
      </c>
    </row>
    <row r="36" spans="1:2">
      <c r="A36" s="217">
        <v>106425</v>
      </c>
      <c r="B36" s="217">
        <v>0.1656637529994486</v>
      </c>
    </row>
    <row r="37" spans="1:2">
      <c r="A37" s="217">
        <v>107843.99864673615</v>
      </c>
      <c r="B37" s="217">
        <v>0.16301988634369494</v>
      </c>
    </row>
    <row r="38" spans="1:2">
      <c r="A38" s="217">
        <v>109262.99940794706</v>
      </c>
      <c r="B38" s="217">
        <v>0.16043666045070951</v>
      </c>
    </row>
    <row r="39" spans="1:2">
      <c r="A39" s="217">
        <v>110682.00016915798</v>
      </c>
      <c r="B39" s="217">
        <v>0.15791201637442109</v>
      </c>
    </row>
    <row r="40" spans="1:2">
      <c r="A40" s="217">
        <v>112100.99881589413</v>
      </c>
      <c r="B40" s="217">
        <v>0.15544398733564604</v>
      </c>
    </row>
    <row r="41" spans="1:2">
      <c r="A41" s="217">
        <v>113519.99957710505</v>
      </c>
      <c r="B41" s="217">
        <v>0.15303068295327968</v>
      </c>
    </row>
    <row r="42" spans="1:2">
      <c r="A42" s="217">
        <v>114938.99822384119</v>
      </c>
      <c r="B42" s="217">
        <v>0.15067030999327685</v>
      </c>
    </row>
    <row r="43" spans="1:2">
      <c r="A43" s="217">
        <v>116357.99898505211</v>
      </c>
      <c r="B43" s="217">
        <v>0.14836113910776075</v>
      </c>
    </row>
    <row r="44" spans="1:2">
      <c r="A44" s="217">
        <v>117776.99974626303</v>
      </c>
      <c r="B44" s="217">
        <v>0.1461015254627708</v>
      </c>
    </row>
    <row r="45" spans="1:2">
      <c r="A45" s="217">
        <v>119195.99839299917</v>
      </c>
      <c r="B45" s="217">
        <v>0.14388989392995019</v>
      </c>
    </row>
    <row r="46" spans="1:2">
      <c r="A46" s="217">
        <v>120614.99915421009</v>
      </c>
      <c r="B46" s="217">
        <v>0.14172472585537646</v>
      </c>
    </row>
    <row r="47" spans="1:2">
      <c r="A47" s="217">
        <v>122033.99780094624</v>
      </c>
      <c r="B47" s="217">
        <v>0.13960457850865921</v>
      </c>
    </row>
    <row r="48" spans="1:2">
      <c r="A48" s="217">
        <v>123452.99856215715</v>
      </c>
      <c r="B48" s="217">
        <v>0.13752805602739773</v>
      </c>
    </row>
    <row r="49" spans="1:2">
      <c r="A49" s="217">
        <v>124871.99932336807</v>
      </c>
      <c r="B49" s="217">
        <v>0.13549382866362689</v>
      </c>
    </row>
    <row r="50" spans="1:2">
      <c r="A50" s="217">
        <v>126290.9990273416</v>
      </c>
      <c r="B50" s="217">
        <v>0.13350061869890717</v>
      </c>
    </row>
    <row r="51" spans="1:2">
      <c r="A51" s="217">
        <v>127709.99873131514</v>
      </c>
      <c r="B51" s="217">
        <v>0.13154719648568344</v>
      </c>
    </row>
    <row r="52" spans="1:2">
      <c r="A52" s="217">
        <v>129128.99843528867</v>
      </c>
      <c r="B52" s="217">
        <v>0.12963238245353018</v>
      </c>
    </row>
    <row r="53" spans="1:2">
      <c r="A53" s="217">
        <v>130547.9981392622</v>
      </c>
      <c r="B53" s="217">
        <v>0.12775504320271325</v>
      </c>
    </row>
    <row r="54" spans="1:2">
      <c r="A54" s="217">
        <v>131966.99890047312</v>
      </c>
      <c r="B54" s="217">
        <v>0.12591408790874117</v>
      </c>
    </row>
    <row r="55" spans="1:2">
      <c r="A55" s="217">
        <v>133385.99860444665</v>
      </c>
      <c r="B55" s="217">
        <v>0.12410847167332188</v>
      </c>
    </row>
    <row r="56" spans="1:2">
      <c r="A56" s="217">
        <v>134804.99830842018</v>
      </c>
      <c r="B56" s="217">
        <v>0.12233718530778333</v>
      </c>
    </row>
    <row r="57" spans="1:2">
      <c r="A57" s="217">
        <v>136223.99854101241</v>
      </c>
      <c r="B57" s="217">
        <v>0.12059925832867724</v>
      </c>
    </row>
    <row r="58" spans="1:2">
      <c r="A58" s="217">
        <v>137642.99850929528</v>
      </c>
      <c r="B58" s="217">
        <v>0.11889375806454121</v>
      </c>
    </row>
    <row r="59" spans="1:2">
      <c r="A59" s="217">
        <v>139061.99847757816</v>
      </c>
      <c r="B59" s="217">
        <v>0.11721978505504063</v>
      </c>
    </row>
    <row r="60" spans="1:2">
      <c r="A60" s="217">
        <v>140480.99844586104</v>
      </c>
      <c r="B60" s="217">
        <v>0.11557647310430359</v>
      </c>
    </row>
    <row r="61" spans="1:2">
      <c r="A61" s="217">
        <v>141899.99841414392</v>
      </c>
      <c r="B61" s="217">
        <v>0.11396298745957287</v>
      </c>
    </row>
    <row r="62" spans="1:2">
      <c r="A62" s="217">
        <v>143318.9983824268</v>
      </c>
      <c r="B62" s="217">
        <v>0.11237852339729683</v>
      </c>
    </row>
    <row r="63" spans="1:2">
      <c r="A63" s="217">
        <v>144737.99835070968</v>
      </c>
      <c r="B63" s="217">
        <v>0.11082230488483535</v>
      </c>
    </row>
    <row r="64" spans="1:2">
      <c r="A64" s="217">
        <v>146156.99831899256</v>
      </c>
      <c r="B64" s="217">
        <v>0.10929358331310533</v>
      </c>
    </row>
    <row r="65" spans="1:2">
      <c r="A65" s="217">
        <v>147575.99828727543</v>
      </c>
      <c r="B65" s="217">
        <v>0.1077916362958166</v>
      </c>
    </row>
    <row r="66" spans="1:2">
      <c r="A66" s="217">
        <v>148994.99851986766</v>
      </c>
      <c r="B66" s="217">
        <v>0.10631576625873637</v>
      </c>
    </row>
    <row r="67" spans="1:2">
      <c r="A67" s="217">
        <v>150413.99822384119</v>
      </c>
      <c r="B67" s="217">
        <v>0.10486530072282393</v>
      </c>
    </row>
    <row r="68" spans="1:2">
      <c r="A68" s="217">
        <v>151832.99792781472</v>
      </c>
      <c r="B68" s="217">
        <v>0.10343958881818875</v>
      </c>
    </row>
    <row r="69" spans="1:2">
      <c r="A69" s="217">
        <v>153251.99763178825</v>
      </c>
      <c r="B69" s="217">
        <v>0.10203800223830746</v>
      </c>
    </row>
    <row r="70" spans="1:2">
      <c r="A70" s="217">
        <v>154670.99839299917</v>
      </c>
      <c r="B70" s="217">
        <v>0.10065993274403115</v>
      </c>
    </row>
    <row r="71" spans="1:2">
      <c r="A71" s="217">
        <v>156089.9980969727</v>
      </c>
      <c r="B71" s="217">
        <v>9.9304795375806817E-2</v>
      </c>
    </row>
    <row r="72" spans="1:2">
      <c r="A72" s="217">
        <v>157508.99780094624</v>
      </c>
      <c r="B72" s="217">
        <v>9.797202146015381E-2</v>
      </c>
    </row>
    <row r="73" spans="1:2">
      <c r="A73" s="217">
        <v>158927.99856215715</v>
      </c>
      <c r="B73" s="217">
        <v>9.6661060972090568E-2</v>
      </c>
    </row>
    <row r="74" spans="1:2">
      <c r="A74" s="217">
        <v>160346.9972088933</v>
      </c>
      <c r="B74" s="217">
        <v>9.5371385589264224E-2</v>
      </c>
    </row>
    <row r="75" spans="1:2">
      <c r="A75" s="217">
        <v>161765.99797010422</v>
      </c>
      <c r="B75" s="217">
        <v>9.4102477348932512E-2</v>
      </c>
    </row>
    <row r="76" spans="1:2">
      <c r="A76" s="217">
        <v>163184.99873131514</v>
      </c>
      <c r="B76" s="217">
        <v>9.2853840495330783E-2</v>
      </c>
    </row>
    <row r="77" spans="1:2">
      <c r="A77" s="217">
        <v>164603.99737805128</v>
      </c>
      <c r="B77" s="217">
        <v>9.1624994927553202E-2</v>
      </c>
    </row>
    <row r="78" spans="1:2">
      <c r="A78" s="217">
        <v>166022.9981392622</v>
      </c>
      <c r="B78" s="217">
        <v>9.0415470221986247E-2</v>
      </c>
    </row>
    <row r="79" spans="1:2">
      <c r="A79" s="217">
        <v>167441.99678599834</v>
      </c>
      <c r="B79" s="217">
        <v>8.9224817787255786E-2</v>
      </c>
    </row>
    <row r="80" spans="1:2">
      <c r="A80" s="217">
        <v>168860.99754720926</v>
      </c>
      <c r="B80" s="217">
        <v>8.8052595878758896E-2</v>
      </c>
    </row>
    <row r="81" spans="1:2">
      <c r="A81" s="217">
        <v>170279.99830842018</v>
      </c>
      <c r="B81" s="217">
        <v>8.6898381551011011E-2</v>
      </c>
    </row>
    <row r="82" spans="1:2">
      <c r="A82" s="217">
        <v>171698.99695515633</v>
      </c>
      <c r="B82" s="217">
        <v>8.5761764701130519E-2</v>
      </c>
    </row>
    <row r="83" spans="1:2">
      <c r="A83" s="217">
        <v>173117.99771636724</v>
      </c>
      <c r="B83" s="217">
        <v>8.4642342618719016E-2</v>
      </c>
    </row>
    <row r="84" spans="1:2">
      <c r="A84" s="217">
        <v>174536.99847757816</v>
      </c>
      <c r="B84" s="217">
        <v>8.353972967937362E-2</v>
      </c>
    </row>
    <row r="85" spans="1:2">
      <c r="A85" s="217">
        <v>175955.99712431431</v>
      </c>
      <c r="B85" s="217">
        <v>8.2453551704036718E-2</v>
      </c>
    </row>
    <row r="86" spans="1:2">
      <c r="A86" s="217">
        <v>177374.99788552523</v>
      </c>
      <c r="B86" s="217">
        <v>8.1383440789127404E-2</v>
      </c>
    </row>
    <row r="87" spans="1:2">
      <c r="A87" s="217">
        <v>178793.99864673615</v>
      </c>
      <c r="B87" s="217">
        <v>8.0329044608729361E-2</v>
      </c>
    </row>
    <row r="88" spans="1:2">
      <c r="A88" s="217">
        <v>180212.99729347229</v>
      </c>
      <c r="B88" s="217">
        <v>7.9290021063256166E-2</v>
      </c>
    </row>
    <row r="89" spans="1:2">
      <c r="A89" s="217">
        <v>181631.99594020844</v>
      </c>
      <c r="B89" s="217">
        <v>7.8266034881468688E-2</v>
      </c>
    </row>
    <row r="90" spans="1:2">
      <c r="A90" s="217">
        <v>183050.99881589413</v>
      </c>
      <c r="B90" s="217">
        <v>7.725675897794293E-2</v>
      </c>
    </row>
    <row r="91" spans="1:2">
      <c r="A91" s="217">
        <v>184469.99746263027</v>
      </c>
      <c r="B91" s="217">
        <v>7.6261884515766071E-2</v>
      </c>
    </row>
    <row r="92" spans="1:2">
      <c r="A92" s="217">
        <v>185888.99610936642</v>
      </c>
      <c r="B92" s="217">
        <v>7.5281102533249156E-2</v>
      </c>
    </row>
    <row r="93" spans="1:2">
      <c r="A93" s="217">
        <v>187307.99898505211</v>
      </c>
      <c r="B93" s="217">
        <v>7.4314112842911464E-2</v>
      </c>
    </row>
    <row r="94" spans="1:2">
      <c r="A94" s="217">
        <v>188726.99763178825</v>
      </c>
      <c r="B94" s="217">
        <v>7.3360632187485467E-2</v>
      </c>
    </row>
    <row r="95" spans="1:2">
      <c r="A95" s="217">
        <v>190145.9962785244</v>
      </c>
      <c r="B95" s="217">
        <v>7.2420376662114386E-2</v>
      </c>
    </row>
    <row r="96" spans="1:2">
      <c r="A96" s="217">
        <v>191564.99915421009</v>
      </c>
      <c r="B96" s="217">
        <v>7.149307026118272E-2</v>
      </c>
    </row>
    <row r="97" spans="1:2">
      <c r="A97" s="217">
        <v>192983.99780094624</v>
      </c>
      <c r="B97" s="217">
        <v>7.0578452726899443E-2</v>
      </c>
    </row>
    <row r="98" spans="1:2">
      <c r="A98" s="217">
        <v>194402.99644768238</v>
      </c>
      <c r="B98" s="217">
        <v>6.9676262715009207E-2</v>
      </c>
    </row>
    <row r="99" spans="1:2">
      <c r="A99" s="217">
        <v>195821.99932336807</v>
      </c>
      <c r="B99" s="217">
        <v>6.8786246008535779E-2</v>
      </c>
    </row>
    <row r="100" spans="1:2">
      <c r="A100" s="217">
        <v>197240.99797010422</v>
      </c>
      <c r="B100" s="217">
        <v>6.7908163074546446E-2</v>
      </c>
    </row>
    <row r="101" spans="1:2">
      <c r="A101" s="217">
        <v>198659.99661684036</v>
      </c>
      <c r="B101" s="217">
        <v>6.7041772925987661E-2</v>
      </c>
    </row>
    <row r="102" spans="1:2">
      <c r="A102" s="217">
        <v>200078.99526357651</v>
      </c>
      <c r="B102" s="217">
        <v>6.6186843551271524E-2</v>
      </c>
    </row>
    <row r="103" spans="1:2">
      <c r="A103" s="217">
        <v>201497.9981392622</v>
      </c>
      <c r="B103" s="217">
        <v>6.534314653877854E-2</v>
      </c>
    </row>
    <row r="104" spans="1:2">
      <c r="A104" s="217">
        <v>202916.99678599834</v>
      </c>
      <c r="B104" s="217">
        <v>6.4510466901882904E-2</v>
      </c>
    </row>
    <row r="105" spans="1:2">
      <c r="A105" s="217">
        <v>204335.99543273449</v>
      </c>
      <c r="B105" s="217">
        <v>6.368858780220632E-2</v>
      </c>
    </row>
    <row r="106" spans="1:2">
      <c r="A106" s="217">
        <v>205754.99830842018</v>
      </c>
      <c r="B106" s="217">
        <v>6.2877298053821903E-2</v>
      </c>
    </row>
    <row r="107" spans="1:2">
      <c r="A107" s="217">
        <v>207173.99695515633</v>
      </c>
      <c r="B107" s="217">
        <v>6.2076399055044661E-2</v>
      </c>
    </row>
    <row r="108" spans="1:2">
      <c r="A108" s="217">
        <v>208592.99560189247</v>
      </c>
      <c r="B108" s="217">
        <v>6.1285690112305495E-2</v>
      </c>
    </row>
    <row r="109" spans="1:2">
      <c r="A109" s="217">
        <v>210011.99847757816</v>
      </c>
      <c r="B109" s="217">
        <v>6.0504975666686979E-2</v>
      </c>
    </row>
    <row r="110" spans="1:2">
      <c r="A110" s="217">
        <v>211430.99712431431</v>
      </c>
      <c r="B110" s="217">
        <v>5.9734071979905941E-2</v>
      </c>
    </row>
    <row r="111" spans="1:2">
      <c r="A111" s="217">
        <v>212849.99577105045</v>
      </c>
      <c r="B111" s="217">
        <v>5.8972793023363217E-2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33AB72-507E-4567-8EA0-4BD26338087E}">
  <dimension ref="A1:B51"/>
  <sheetViews>
    <sheetView topLeftCell="A38" workbookViewId="0">
      <selection activeCell="B51" sqref="B51"/>
    </sheetView>
  </sheetViews>
  <sheetFormatPr baseColWidth="10" defaultColWidth="8.83203125" defaultRowHeight="13"/>
  <cols>
    <col min="1" max="2" width="15.6640625" customWidth="1"/>
  </cols>
  <sheetData>
    <row r="1" spans="1:2" ht="25">
      <c r="A1" s="216" t="s">
        <v>409</v>
      </c>
    </row>
    <row r="7" spans="1:2">
      <c r="A7" s="217" t="s">
        <v>405</v>
      </c>
      <c r="B7" s="217" t="s">
        <v>406</v>
      </c>
    </row>
    <row r="8" spans="1:2">
      <c r="A8" s="217" t="s">
        <v>410</v>
      </c>
      <c r="B8" s="217" t="s">
        <v>407</v>
      </c>
    </row>
    <row r="11" spans="1:2">
      <c r="A11" s="217">
        <v>0</v>
      </c>
      <c r="B11" s="217">
        <v>0.16210967126181083</v>
      </c>
    </row>
    <row r="12" spans="1:2">
      <c r="A12" s="217">
        <v>6.7495016092061988E-2</v>
      </c>
      <c r="B12" s="217">
        <v>0.15970233640840348</v>
      </c>
    </row>
    <row r="13" spans="1:2">
      <c r="A13" s="217">
        <v>0.13499003218412398</v>
      </c>
      <c r="B13" s="217">
        <v>0.15729500155499598</v>
      </c>
    </row>
    <row r="14" spans="1:2">
      <c r="A14" s="217">
        <v>0.20248496781587599</v>
      </c>
      <c r="B14" s="217">
        <v>0.15488766957135464</v>
      </c>
    </row>
    <row r="15" spans="1:2">
      <c r="A15" s="217">
        <v>0.26997998390793798</v>
      </c>
      <c r="B15" s="217">
        <v>0.15248033471794717</v>
      </c>
    </row>
    <row r="16" spans="1:2">
      <c r="A16" s="217">
        <v>0.33747499999999997</v>
      </c>
      <c r="B16" s="217">
        <v>0.15007299986453967</v>
      </c>
    </row>
    <row r="17" spans="1:2">
      <c r="A17" s="217">
        <v>0.40497001609206207</v>
      </c>
      <c r="B17" s="217">
        <v>0.14766566501113232</v>
      </c>
    </row>
    <row r="18" spans="1:2">
      <c r="A18" s="217">
        <v>0.47246503218412406</v>
      </c>
      <c r="B18" s="217">
        <v>0.14525833015772482</v>
      </c>
    </row>
    <row r="19" spans="1:2">
      <c r="A19" s="217">
        <v>0.53995996781587607</v>
      </c>
      <c r="B19" s="217">
        <v>0.14285099817408353</v>
      </c>
    </row>
    <row r="20" spans="1:2">
      <c r="A20" s="217">
        <v>0.60745498390793806</v>
      </c>
      <c r="B20" s="217">
        <v>0.14044366332067604</v>
      </c>
    </row>
    <row r="21" spans="1:2">
      <c r="A21" s="217">
        <v>0.67495000000000005</v>
      </c>
      <c r="B21" s="217">
        <v>0.13803632846726854</v>
      </c>
    </row>
    <row r="22" spans="1:2">
      <c r="A22" s="217">
        <v>0.74244501609206204</v>
      </c>
      <c r="B22" s="217">
        <v>0.13562899361386113</v>
      </c>
    </row>
    <row r="23" spans="1:2">
      <c r="A23" s="217">
        <v>0.80994003218412403</v>
      </c>
      <c r="B23" s="217">
        <v>0.13322165876045378</v>
      </c>
    </row>
    <row r="24" spans="1:2">
      <c r="A24" s="217">
        <v>0.87743500804603114</v>
      </c>
      <c r="B24" s="217">
        <v>0.13081432534192941</v>
      </c>
    </row>
    <row r="25" spans="1:2">
      <c r="A25" s="217">
        <v>0.94493002413809313</v>
      </c>
      <c r="B25" s="217">
        <v>0.12840699048852192</v>
      </c>
    </row>
    <row r="26" spans="1:2">
      <c r="A26" s="217">
        <v>1.0124250201150775</v>
      </c>
      <c r="B26" s="217">
        <v>0.12599965635255608</v>
      </c>
    </row>
    <row r="27" spans="1:2">
      <c r="A27" s="217">
        <v>1.0799200160920621</v>
      </c>
      <c r="B27" s="217">
        <v>0.12359232221659013</v>
      </c>
    </row>
    <row r="28" spans="1:2">
      <c r="A28" s="217">
        <v>1.1474150120690465</v>
      </c>
      <c r="B28" s="217">
        <v>0.12118498808062406</v>
      </c>
    </row>
    <row r="29" spans="1:2">
      <c r="A29" s="217">
        <v>1.2149100181035699</v>
      </c>
      <c r="B29" s="217">
        <v>0.11877765358593752</v>
      </c>
    </row>
    <row r="30" spans="1:2">
      <c r="A30" s="217">
        <v>1.2824050191093237</v>
      </c>
      <c r="B30" s="217">
        <v>0.11637031927061114</v>
      </c>
    </row>
    <row r="31" spans="1:2">
      <c r="A31" s="217">
        <v>1.3499000201150777</v>
      </c>
      <c r="B31" s="217">
        <v>0.1139629849552847</v>
      </c>
    </row>
    <row r="32" spans="1:2">
      <c r="A32" s="217">
        <v>1.4173950211208315</v>
      </c>
      <c r="B32" s="217">
        <v>0.11155565063995847</v>
      </c>
    </row>
    <row r="33" spans="1:2">
      <c r="A33" s="217">
        <v>1.4848900221265853</v>
      </c>
      <c r="B33" s="217">
        <v>0.10914831632463222</v>
      </c>
    </row>
    <row r="34" spans="1:2">
      <c r="A34" s="217">
        <v>1.5523850281611087</v>
      </c>
      <c r="B34" s="217">
        <v>0.10674098182994556</v>
      </c>
    </row>
    <row r="35" spans="1:2">
      <c r="A35" s="217">
        <v>1.6198800241380931</v>
      </c>
      <c r="B35" s="217">
        <v>0.10433364769397961</v>
      </c>
    </row>
    <row r="36" spans="1:2">
      <c r="A36" s="217">
        <v>1.6873750402301551</v>
      </c>
      <c r="B36" s="217">
        <v>0.10192631284057224</v>
      </c>
    </row>
    <row r="37" spans="1:2">
      <c r="A37" s="217">
        <v>1.7548700160920621</v>
      </c>
      <c r="B37" s="217">
        <v>9.9518979422047821E-2</v>
      </c>
    </row>
    <row r="38" spans="1:2">
      <c r="A38" s="217">
        <v>1.822365032184124</v>
      </c>
      <c r="B38" s="217">
        <v>9.7111644568640326E-2</v>
      </c>
    </row>
    <row r="39" spans="1:2">
      <c r="A39" s="217">
        <v>1.8898600482761863</v>
      </c>
      <c r="B39" s="217">
        <v>9.470430971523297E-2</v>
      </c>
    </row>
    <row r="40" spans="1:2">
      <c r="A40" s="217">
        <v>1.957355024138093</v>
      </c>
      <c r="B40" s="217">
        <v>9.2296976296708411E-2</v>
      </c>
    </row>
    <row r="41" spans="1:2">
      <c r="A41" s="217">
        <v>2.0248500000000003</v>
      </c>
      <c r="B41" s="217">
        <v>8.9889642878184059E-2</v>
      </c>
    </row>
    <row r="42" spans="1:2">
      <c r="A42" s="217">
        <v>2.0923450160920622</v>
      </c>
      <c r="B42" s="217">
        <v>8.7482308024776495E-2</v>
      </c>
    </row>
    <row r="43" spans="1:2">
      <c r="A43" s="217">
        <v>2.1598400321841242</v>
      </c>
      <c r="B43" s="217">
        <v>8.5074973171369334E-2</v>
      </c>
    </row>
    <row r="44" spans="1:2">
      <c r="A44" s="217">
        <v>2.2273350482761862</v>
      </c>
      <c r="B44" s="217">
        <v>8.2667638317961784E-2</v>
      </c>
    </row>
    <row r="45" spans="1:2">
      <c r="A45" s="217">
        <v>2.2948300643682482</v>
      </c>
      <c r="B45" s="217">
        <v>8.026030346455422E-2</v>
      </c>
    </row>
    <row r="46" spans="1:2">
      <c r="A46" s="217">
        <v>2.3623250000000002</v>
      </c>
      <c r="B46" s="217">
        <v>7.7852971480912941E-2</v>
      </c>
    </row>
    <row r="47" spans="1:2">
      <c r="A47" s="217">
        <v>2.4298200160920622</v>
      </c>
      <c r="B47" s="217">
        <v>7.5445636627505377E-2</v>
      </c>
    </row>
    <row r="48" spans="1:2">
      <c r="A48" s="217">
        <v>2.4973150321841242</v>
      </c>
      <c r="B48" s="217">
        <v>7.3038301774098091E-2</v>
      </c>
    </row>
    <row r="49" spans="1:2">
      <c r="A49" s="217">
        <v>2.5648100482761862</v>
      </c>
      <c r="B49" s="217">
        <v>7.0630966920690791E-2</v>
      </c>
    </row>
    <row r="50" spans="1:2">
      <c r="A50" s="217">
        <v>2.6323050643682482</v>
      </c>
      <c r="B50" s="217">
        <v>6.8223632067283102E-2</v>
      </c>
    </row>
    <row r="51" spans="1:2">
      <c r="A51" s="217">
        <v>2.6998000000000002</v>
      </c>
      <c r="B51" s="217">
        <v>6.5816300083641824E-2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FE38F-0432-4A5B-9616-FCDDBE75D4EF}">
  <dimension ref="A1:B31"/>
  <sheetViews>
    <sheetView topLeftCell="A20" workbookViewId="0">
      <selection activeCell="B31" sqref="B31"/>
    </sheetView>
  </sheetViews>
  <sheetFormatPr baseColWidth="10" defaultColWidth="8.83203125" defaultRowHeight="13"/>
  <cols>
    <col min="1" max="2" width="15.6640625" customWidth="1"/>
  </cols>
  <sheetData>
    <row r="1" spans="1:2" ht="25">
      <c r="A1" s="216" t="s">
        <v>409</v>
      </c>
    </row>
    <row r="7" spans="1:2">
      <c r="A7" s="217" t="s">
        <v>405</v>
      </c>
      <c r="B7" s="217" t="s">
        <v>406</v>
      </c>
    </row>
    <row r="8" spans="1:2">
      <c r="A8" s="217" t="s">
        <v>408</v>
      </c>
      <c r="B8" s="217" t="s">
        <v>411</v>
      </c>
    </row>
    <row r="11" spans="1:2">
      <c r="A11" s="217">
        <v>71950</v>
      </c>
      <c r="B11" s="219">
        <v>121854.42</v>
      </c>
    </row>
    <row r="12" spans="1:2">
      <c r="A12" s="217">
        <v>79145.001715421677</v>
      </c>
      <c r="B12" s="219">
        <v>111815.31</v>
      </c>
    </row>
    <row r="13" spans="1:2">
      <c r="A13" s="217">
        <v>86339.999142289162</v>
      </c>
      <c r="B13" s="219">
        <v>101776.2</v>
      </c>
    </row>
    <row r="14" spans="1:2">
      <c r="A14" s="217">
        <v>93535.000857710838</v>
      </c>
      <c r="B14" s="219">
        <v>91737.09</v>
      </c>
    </row>
    <row r="15" spans="1:2">
      <c r="A15" s="217">
        <v>100729.99828457832</v>
      </c>
      <c r="B15" s="219">
        <v>81697.98</v>
      </c>
    </row>
    <row r="16" spans="1:2">
      <c r="A16" s="217">
        <v>107925</v>
      </c>
      <c r="B16" s="219">
        <v>71658.87</v>
      </c>
    </row>
    <row r="17" spans="1:2">
      <c r="A17" s="217">
        <v>115120.00171542168</v>
      </c>
      <c r="B17" s="219">
        <v>61619.75</v>
      </c>
    </row>
    <row r="18" spans="1:2">
      <c r="A18" s="217">
        <v>122315.00128656626</v>
      </c>
      <c r="B18" s="219">
        <v>51580.639999999999</v>
      </c>
    </row>
    <row r="19" spans="1:2">
      <c r="A19" s="217">
        <v>129510.00085771084</v>
      </c>
      <c r="B19" s="219">
        <v>41541.53</v>
      </c>
    </row>
    <row r="20" spans="1:2">
      <c r="A20" s="217">
        <v>136705.00096492469</v>
      </c>
      <c r="B20" s="219">
        <v>31502.42</v>
      </c>
    </row>
    <row r="21" spans="1:2">
      <c r="A21" s="217">
        <v>143900.00107213855</v>
      </c>
      <c r="B21" s="219">
        <v>21463.31</v>
      </c>
    </row>
    <row r="22" spans="1:2">
      <c r="A22" s="217">
        <v>151095.0011793524</v>
      </c>
      <c r="B22" s="219">
        <v>11424.2</v>
      </c>
    </row>
    <row r="23" spans="1:2">
      <c r="A23" s="217">
        <v>158290.00128656626</v>
      </c>
      <c r="B23" s="219">
        <v>1385.09</v>
      </c>
    </row>
    <row r="24" spans="1:2">
      <c r="A24" s="217">
        <v>165485.00085771084</v>
      </c>
      <c r="B24" s="219">
        <v>-8654.02</v>
      </c>
    </row>
    <row r="25" spans="1:2">
      <c r="A25" s="217">
        <v>172680.00257313251</v>
      </c>
      <c r="B25" s="219">
        <v>-18693.14</v>
      </c>
    </row>
    <row r="26" spans="1:2">
      <c r="A26" s="217">
        <v>179875</v>
      </c>
      <c r="B26" s="219">
        <v>-28732.25</v>
      </c>
    </row>
    <row r="27" spans="1:2">
      <c r="A27" s="217">
        <v>187070.00171542168</v>
      </c>
      <c r="B27" s="219">
        <v>-38771.360000000001</v>
      </c>
    </row>
    <row r="28" spans="1:2">
      <c r="A28" s="217">
        <v>194265.00343084335</v>
      </c>
      <c r="B28" s="219">
        <v>-48810.47</v>
      </c>
    </row>
    <row r="29" spans="1:2">
      <c r="A29" s="217">
        <v>201460.00085771084</v>
      </c>
      <c r="B29" s="219">
        <v>-58849.58</v>
      </c>
    </row>
    <row r="30" spans="1:2">
      <c r="A30" s="217">
        <v>208655.00257313251</v>
      </c>
      <c r="B30" s="219">
        <v>-68888.69</v>
      </c>
    </row>
    <row r="31" spans="1:2">
      <c r="A31" s="217">
        <v>215850</v>
      </c>
      <c r="B31" s="219">
        <v>-78927.8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4B20E-0BE2-49D0-AA4F-A84628B8D656}">
  <dimension ref="A1:B111"/>
  <sheetViews>
    <sheetView topLeftCell="A101" workbookViewId="0">
      <selection activeCell="B111" sqref="B111"/>
    </sheetView>
  </sheetViews>
  <sheetFormatPr baseColWidth="10" defaultColWidth="8.83203125" defaultRowHeight="13"/>
  <cols>
    <col min="1" max="2" width="15.6640625" customWidth="1"/>
  </cols>
  <sheetData>
    <row r="1" spans="1:2" ht="25">
      <c r="A1" s="216" t="s">
        <v>409</v>
      </c>
    </row>
    <row r="7" spans="1:2">
      <c r="A7" s="217" t="s">
        <v>405</v>
      </c>
      <c r="B7" s="217" t="s">
        <v>406</v>
      </c>
    </row>
    <row r="8" spans="1:2">
      <c r="A8" s="217" t="s">
        <v>412</v>
      </c>
      <c r="B8" s="217" t="s">
        <v>411</v>
      </c>
    </row>
    <row r="11" spans="1:2">
      <c r="A11" s="219">
        <v>67523.759999999995</v>
      </c>
      <c r="B11" s="219">
        <v>411751.27</v>
      </c>
    </row>
    <row r="12" spans="1:2">
      <c r="A12" s="219">
        <v>68874.240000000005</v>
      </c>
      <c r="B12" s="219">
        <v>403945.49</v>
      </c>
    </row>
    <row r="13" spans="1:2">
      <c r="A13" s="219">
        <v>70224.710000000006</v>
      </c>
      <c r="B13" s="219">
        <v>396139.76</v>
      </c>
    </row>
    <row r="14" spans="1:2">
      <c r="A14" s="219">
        <v>71575.19</v>
      </c>
      <c r="B14" s="219">
        <v>388333.97</v>
      </c>
    </row>
    <row r="15" spans="1:2">
      <c r="A15" s="219">
        <v>72925.66</v>
      </c>
      <c r="B15" s="219">
        <v>380528.24</v>
      </c>
    </row>
    <row r="16" spans="1:2">
      <c r="A16" s="219">
        <v>74276.14</v>
      </c>
      <c r="B16" s="219">
        <v>372722.46</v>
      </c>
    </row>
    <row r="17" spans="1:2">
      <c r="A17" s="219">
        <v>75626.61</v>
      </c>
      <c r="B17" s="219">
        <v>364916.73</v>
      </c>
    </row>
    <row r="18" spans="1:2">
      <c r="A18" s="219">
        <v>76977.09</v>
      </c>
      <c r="B18" s="219">
        <v>357110.94</v>
      </c>
    </row>
    <row r="19" spans="1:2">
      <c r="A19" s="219">
        <v>78327.56</v>
      </c>
      <c r="B19" s="219">
        <v>349305.21</v>
      </c>
    </row>
    <row r="20" spans="1:2">
      <c r="A20" s="219">
        <v>79678.039999999994</v>
      </c>
      <c r="B20" s="219">
        <v>341499.43</v>
      </c>
    </row>
    <row r="21" spans="1:2">
      <c r="A21" s="219">
        <v>81028.509999999995</v>
      </c>
      <c r="B21" s="219">
        <v>333693.7</v>
      </c>
    </row>
    <row r="22" spans="1:2">
      <c r="A22" s="219">
        <v>82378.990000000005</v>
      </c>
      <c r="B22" s="219">
        <v>325887.90999999997</v>
      </c>
    </row>
    <row r="23" spans="1:2">
      <c r="A23" s="219">
        <v>83729.47</v>
      </c>
      <c r="B23" s="219">
        <v>318082.13</v>
      </c>
    </row>
    <row r="24" spans="1:2">
      <c r="A24" s="219">
        <v>85079.94</v>
      </c>
      <c r="B24" s="219">
        <v>310276.40000000002</v>
      </c>
    </row>
    <row r="25" spans="1:2">
      <c r="A25" s="219">
        <v>86430.41</v>
      </c>
      <c r="B25" s="219">
        <v>302470.67</v>
      </c>
    </row>
    <row r="26" spans="1:2">
      <c r="A26" s="219">
        <v>87780.89</v>
      </c>
      <c r="B26" s="219">
        <v>294664.88</v>
      </c>
    </row>
    <row r="27" spans="1:2">
      <c r="A27" s="219">
        <v>89131.37</v>
      </c>
      <c r="B27" s="219">
        <v>286859.09000000003</v>
      </c>
    </row>
    <row r="28" spans="1:2">
      <c r="A28" s="219">
        <v>90481.84</v>
      </c>
      <c r="B28" s="219">
        <v>279053.37</v>
      </c>
    </row>
    <row r="29" spans="1:2">
      <c r="A29" s="219">
        <v>91832.320000000007</v>
      </c>
      <c r="B29" s="219">
        <v>271247.58</v>
      </c>
    </row>
    <row r="30" spans="1:2">
      <c r="A30" s="219">
        <v>93182.79</v>
      </c>
      <c r="B30" s="219">
        <v>263441.84999999998</v>
      </c>
    </row>
    <row r="31" spans="1:2">
      <c r="A31" s="219">
        <v>94533.27</v>
      </c>
      <c r="B31" s="219">
        <v>255636.06</v>
      </c>
    </row>
    <row r="32" spans="1:2">
      <c r="A32" s="219">
        <v>95883.74</v>
      </c>
      <c r="B32" s="219">
        <v>247830.34</v>
      </c>
    </row>
    <row r="33" spans="1:2">
      <c r="A33" s="219">
        <v>97234.22</v>
      </c>
      <c r="B33" s="219">
        <v>240024.55</v>
      </c>
    </row>
    <row r="34" spans="1:2">
      <c r="A34" s="219">
        <v>98584.69</v>
      </c>
      <c r="B34" s="219">
        <v>232218.82</v>
      </c>
    </row>
    <row r="35" spans="1:2">
      <c r="A35" s="219">
        <v>99935.17</v>
      </c>
      <c r="B35" s="219">
        <v>224413.03</v>
      </c>
    </row>
    <row r="36" spans="1:2">
      <c r="A36" s="219">
        <v>101285.64</v>
      </c>
      <c r="B36" s="219">
        <v>216607.3</v>
      </c>
    </row>
    <row r="37" spans="1:2">
      <c r="A37" s="219">
        <v>102636.12</v>
      </c>
      <c r="B37" s="219">
        <v>208801.52</v>
      </c>
    </row>
    <row r="38" spans="1:2">
      <c r="A38" s="219">
        <v>103986.59</v>
      </c>
      <c r="B38" s="219">
        <v>200995.79</v>
      </c>
    </row>
    <row r="39" spans="1:2">
      <c r="A39" s="219">
        <v>105337.07</v>
      </c>
      <c r="B39" s="219">
        <v>193190</v>
      </c>
    </row>
    <row r="40" spans="1:2">
      <c r="A40" s="219">
        <v>106687.54</v>
      </c>
      <c r="B40" s="219">
        <v>185384.27</v>
      </c>
    </row>
    <row r="41" spans="1:2">
      <c r="A41" s="219">
        <v>108038.02</v>
      </c>
      <c r="B41" s="219">
        <v>177578.49</v>
      </c>
    </row>
    <row r="42" spans="1:2">
      <c r="A42" s="219">
        <v>109388.49</v>
      </c>
      <c r="B42" s="219">
        <v>169772.76</v>
      </c>
    </row>
    <row r="43" spans="1:2">
      <c r="A43" s="219">
        <v>110738.97</v>
      </c>
      <c r="B43" s="219">
        <v>161966.97</v>
      </c>
    </row>
    <row r="44" spans="1:2">
      <c r="A44" s="219">
        <v>112089.44</v>
      </c>
      <c r="B44" s="219">
        <v>154161.24</v>
      </c>
    </row>
    <row r="45" spans="1:2">
      <c r="A45" s="219">
        <v>113439.92</v>
      </c>
      <c r="B45" s="219">
        <v>146355.46</v>
      </c>
    </row>
    <row r="46" spans="1:2">
      <c r="A46" s="219">
        <v>114790.39</v>
      </c>
      <c r="B46" s="219">
        <v>138549.73000000001</v>
      </c>
    </row>
    <row r="47" spans="1:2">
      <c r="A47" s="219">
        <v>116140.87</v>
      </c>
      <c r="B47" s="219">
        <v>130743.94</v>
      </c>
    </row>
    <row r="48" spans="1:2">
      <c r="A48" s="219">
        <v>117491.34</v>
      </c>
      <c r="B48" s="219">
        <v>122938.21</v>
      </c>
    </row>
    <row r="49" spans="1:2">
      <c r="A49" s="219">
        <v>118841.82</v>
      </c>
      <c r="B49" s="219">
        <v>115132.43</v>
      </c>
    </row>
    <row r="50" spans="1:2">
      <c r="A50" s="219">
        <v>120192.3</v>
      </c>
      <c r="B50" s="219">
        <v>107326.64</v>
      </c>
    </row>
    <row r="51" spans="1:2">
      <c r="A51" s="219">
        <v>121542.77</v>
      </c>
      <c r="B51" s="219">
        <v>99520.91</v>
      </c>
    </row>
    <row r="52" spans="1:2">
      <c r="A52" s="219">
        <v>122893.25</v>
      </c>
      <c r="B52" s="219">
        <v>91715.13</v>
      </c>
    </row>
    <row r="53" spans="1:2">
      <c r="A53" s="219">
        <v>124243.72</v>
      </c>
      <c r="B53" s="219">
        <v>83909.4</v>
      </c>
    </row>
    <row r="54" spans="1:2">
      <c r="A54" s="219">
        <v>125594.2</v>
      </c>
      <c r="B54" s="219">
        <v>76103.61</v>
      </c>
    </row>
    <row r="55" spans="1:2">
      <c r="A55" s="219">
        <v>126944.67</v>
      </c>
      <c r="B55" s="219">
        <v>68297.88</v>
      </c>
    </row>
    <row r="56" spans="1:2">
      <c r="A56" s="219">
        <v>128295.15</v>
      </c>
      <c r="B56" s="219">
        <v>60492.09</v>
      </c>
    </row>
    <row r="57" spans="1:2">
      <c r="A57" s="219">
        <v>129645.62</v>
      </c>
      <c r="B57" s="219">
        <v>52686.37</v>
      </c>
    </row>
    <row r="58" spans="1:2">
      <c r="A58" s="219">
        <v>130996.1</v>
      </c>
      <c r="B58" s="219">
        <v>44880.58</v>
      </c>
    </row>
    <row r="59" spans="1:2">
      <c r="A59" s="219">
        <v>132346.57</v>
      </c>
      <c r="B59" s="219">
        <v>37074.85</v>
      </c>
    </row>
    <row r="60" spans="1:2">
      <c r="A60" s="219">
        <v>133697.04999999999</v>
      </c>
      <c r="B60" s="219">
        <v>29269.06</v>
      </c>
    </row>
    <row r="61" spans="1:2">
      <c r="A61" s="219">
        <v>135047.51999999999</v>
      </c>
      <c r="B61" s="219">
        <v>21463.34</v>
      </c>
    </row>
    <row r="62" spans="1:2">
      <c r="A62" s="219">
        <v>136398</v>
      </c>
      <c r="B62" s="219">
        <v>13657.55</v>
      </c>
    </row>
    <row r="63" spans="1:2">
      <c r="A63" s="219">
        <v>137748.47</v>
      </c>
      <c r="B63" s="219">
        <v>5851.82</v>
      </c>
    </row>
    <row r="64" spans="1:2">
      <c r="A64" s="219">
        <v>139098.95000000001</v>
      </c>
      <c r="B64" s="219">
        <v>-1953.97</v>
      </c>
    </row>
    <row r="65" spans="1:2">
      <c r="A65" s="219">
        <v>140449.42000000001</v>
      </c>
      <c r="B65" s="219">
        <v>-9759.7000000000007</v>
      </c>
    </row>
    <row r="66" spans="1:2">
      <c r="A66" s="219">
        <v>141799.9</v>
      </c>
      <c r="B66" s="219">
        <v>-17565.48</v>
      </c>
    </row>
    <row r="67" spans="1:2">
      <c r="A67" s="219">
        <v>143150.37</v>
      </c>
      <c r="B67" s="219">
        <v>-25371.21</v>
      </c>
    </row>
    <row r="68" spans="1:2">
      <c r="A68" s="219">
        <v>144500.85</v>
      </c>
      <c r="B68" s="219">
        <v>-33177</v>
      </c>
    </row>
    <row r="69" spans="1:2">
      <c r="A69" s="219">
        <v>145851.32</v>
      </c>
      <c r="B69" s="219">
        <v>-40982.730000000003</v>
      </c>
    </row>
    <row r="70" spans="1:2">
      <c r="A70" s="219">
        <v>147201.79999999999</v>
      </c>
      <c r="B70" s="219">
        <v>-48788.51</v>
      </c>
    </row>
    <row r="71" spans="1:2">
      <c r="A71" s="219">
        <v>148552.26999999999</v>
      </c>
      <c r="B71" s="219">
        <v>-56594.239999999998</v>
      </c>
    </row>
    <row r="72" spans="1:2">
      <c r="A72" s="219">
        <v>149902.75</v>
      </c>
      <c r="B72" s="219">
        <v>-64400.03</v>
      </c>
    </row>
    <row r="73" spans="1:2">
      <c r="A73" s="219">
        <v>151253.23000000001</v>
      </c>
      <c r="B73" s="219">
        <v>-72205.81</v>
      </c>
    </row>
    <row r="74" spans="1:2">
      <c r="A74" s="219">
        <v>152603.70000000001</v>
      </c>
      <c r="B74" s="219">
        <v>-80011.539999999994</v>
      </c>
    </row>
    <row r="75" spans="1:2">
      <c r="A75" s="219">
        <v>153954.18</v>
      </c>
      <c r="B75" s="219">
        <v>-87817.33</v>
      </c>
    </row>
    <row r="76" spans="1:2">
      <c r="A76" s="219">
        <v>155304.65</v>
      </c>
      <c r="B76" s="219">
        <v>-95623.06</v>
      </c>
    </row>
    <row r="77" spans="1:2">
      <c r="A77" s="219">
        <v>156655.13</v>
      </c>
      <c r="B77" s="219">
        <v>-103428.84</v>
      </c>
    </row>
    <row r="78" spans="1:2">
      <c r="A78" s="219">
        <v>158005.6</v>
      </c>
      <c r="B78" s="219">
        <v>-111234.57</v>
      </c>
    </row>
    <row r="79" spans="1:2">
      <c r="A79" s="219">
        <v>159356.07999999999</v>
      </c>
      <c r="B79" s="219">
        <v>-119040.36</v>
      </c>
    </row>
    <row r="80" spans="1:2">
      <c r="A80" s="219">
        <v>160706.54999999999</v>
      </c>
      <c r="B80" s="219">
        <v>-126846.09</v>
      </c>
    </row>
    <row r="81" spans="1:2">
      <c r="A81" s="219">
        <v>162057.03</v>
      </c>
      <c r="B81" s="219">
        <v>-134651.87</v>
      </c>
    </row>
    <row r="82" spans="1:2">
      <c r="A82" s="219">
        <v>163407.5</v>
      </c>
      <c r="B82" s="219">
        <v>-142457.60000000001</v>
      </c>
    </row>
    <row r="83" spans="1:2">
      <c r="A83" s="219">
        <v>164757.98000000001</v>
      </c>
      <c r="B83" s="219">
        <v>-150263.39000000001</v>
      </c>
    </row>
    <row r="84" spans="1:2">
      <c r="A84" s="219">
        <v>166108.45000000001</v>
      </c>
      <c r="B84" s="219">
        <v>-158069.12</v>
      </c>
    </row>
    <row r="85" spans="1:2">
      <c r="A85" s="219">
        <v>167458.93</v>
      </c>
      <c r="B85" s="219">
        <v>-165874.91</v>
      </c>
    </row>
    <row r="86" spans="1:2">
      <c r="A86" s="219">
        <v>168809.4</v>
      </c>
      <c r="B86" s="219">
        <v>-173680.63</v>
      </c>
    </row>
    <row r="87" spans="1:2">
      <c r="A87" s="219">
        <v>170159.88</v>
      </c>
      <c r="B87" s="219">
        <v>-181486.42</v>
      </c>
    </row>
    <row r="88" spans="1:2">
      <c r="A88" s="219">
        <v>171510.35</v>
      </c>
      <c r="B88" s="219">
        <v>-189292.15</v>
      </c>
    </row>
    <row r="89" spans="1:2">
      <c r="A89" s="219">
        <v>172860.83</v>
      </c>
      <c r="B89" s="219">
        <v>-197097.94</v>
      </c>
    </row>
    <row r="90" spans="1:2">
      <c r="A90" s="219">
        <v>174211.31</v>
      </c>
      <c r="B90" s="219">
        <v>-204903.72</v>
      </c>
    </row>
    <row r="91" spans="1:2">
      <c r="A91" s="219">
        <v>175561.78</v>
      </c>
      <c r="B91" s="219">
        <v>-212709.45</v>
      </c>
    </row>
    <row r="92" spans="1:2">
      <c r="A92" s="219">
        <v>176912.25</v>
      </c>
      <c r="B92" s="219">
        <v>-220515.18</v>
      </c>
    </row>
    <row r="93" spans="1:2">
      <c r="A93" s="219">
        <v>178262.73</v>
      </c>
      <c r="B93" s="219">
        <v>-228320.97</v>
      </c>
    </row>
    <row r="94" spans="1:2">
      <c r="A94" s="219">
        <v>179613.21</v>
      </c>
      <c r="B94" s="219">
        <v>-236126.75</v>
      </c>
    </row>
    <row r="95" spans="1:2">
      <c r="A95" s="219">
        <v>180963.68</v>
      </c>
      <c r="B95" s="219">
        <v>-243932.48</v>
      </c>
    </row>
    <row r="96" spans="1:2">
      <c r="A96" s="219">
        <v>182314.16</v>
      </c>
      <c r="B96" s="219">
        <v>-251738.27</v>
      </c>
    </row>
    <row r="97" spans="1:2">
      <c r="A97" s="219">
        <v>183664.63</v>
      </c>
      <c r="B97" s="219">
        <v>-259544</v>
      </c>
    </row>
    <row r="98" spans="1:2">
      <c r="A98" s="219">
        <v>185015.1</v>
      </c>
      <c r="B98" s="219">
        <v>-267349.73</v>
      </c>
    </row>
    <row r="99" spans="1:2">
      <c r="A99" s="219">
        <v>186365.58</v>
      </c>
      <c r="B99" s="219">
        <v>-275155.51</v>
      </c>
    </row>
    <row r="100" spans="1:2">
      <c r="A100" s="219">
        <v>187716.06</v>
      </c>
      <c r="B100" s="219">
        <v>-282961.3</v>
      </c>
    </row>
    <row r="101" spans="1:2">
      <c r="A101" s="219">
        <v>189066.53</v>
      </c>
      <c r="B101" s="219">
        <v>-290767.03000000003</v>
      </c>
    </row>
    <row r="102" spans="1:2">
      <c r="A102" s="219">
        <v>190417</v>
      </c>
      <c r="B102" s="219">
        <v>-298572.76</v>
      </c>
    </row>
    <row r="103" spans="1:2">
      <c r="A103" s="219">
        <v>191767.48</v>
      </c>
      <c r="B103" s="219">
        <v>-306378.53999999998</v>
      </c>
    </row>
    <row r="104" spans="1:2">
      <c r="A104" s="219">
        <v>193117.96</v>
      </c>
      <c r="B104" s="219">
        <v>-314184.33</v>
      </c>
    </row>
    <row r="105" spans="1:2">
      <c r="A105" s="219">
        <v>194468.43</v>
      </c>
      <c r="B105" s="219">
        <v>-321990.06</v>
      </c>
    </row>
    <row r="106" spans="1:2">
      <c r="A106" s="219">
        <v>195818.91</v>
      </c>
      <c r="B106" s="219">
        <v>-329795.84000000003</v>
      </c>
    </row>
    <row r="107" spans="1:2">
      <c r="A107" s="219">
        <v>197169.38</v>
      </c>
      <c r="B107" s="219">
        <v>-337601.57</v>
      </c>
    </row>
    <row r="108" spans="1:2">
      <c r="A108" s="219">
        <v>198519.86</v>
      </c>
      <c r="B108" s="219">
        <v>-345407.36</v>
      </c>
    </row>
    <row r="109" spans="1:2">
      <c r="A109" s="219">
        <v>199870.33</v>
      </c>
      <c r="B109" s="219">
        <v>-353213.09</v>
      </c>
    </row>
    <row r="110" spans="1:2">
      <c r="A110" s="219">
        <v>201220.81</v>
      </c>
      <c r="B110" s="219">
        <v>-361018.87</v>
      </c>
    </row>
    <row r="111" spans="1:2">
      <c r="A111" s="219">
        <v>202571.28</v>
      </c>
      <c r="B111" s="219">
        <v>-368824.6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94FB-0857-4BB7-BC6C-A004CE6EA005}">
  <dimension ref="A1:B111"/>
  <sheetViews>
    <sheetView topLeftCell="A101" workbookViewId="0">
      <selection activeCell="B111" sqref="B111"/>
    </sheetView>
  </sheetViews>
  <sheetFormatPr baseColWidth="10" defaultColWidth="8.83203125" defaultRowHeight="13"/>
  <cols>
    <col min="1" max="2" width="15.6640625" customWidth="1"/>
  </cols>
  <sheetData>
    <row r="1" spans="1:2" ht="25">
      <c r="A1" s="216" t="s">
        <v>409</v>
      </c>
    </row>
    <row r="7" spans="1:2">
      <c r="A7" s="217" t="s">
        <v>405</v>
      </c>
      <c r="B7" s="217" t="s">
        <v>406</v>
      </c>
    </row>
    <row r="8" spans="1:2">
      <c r="A8" s="217" t="s">
        <v>412</v>
      </c>
      <c r="B8" s="217" t="s">
        <v>407</v>
      </c>
    </row>
    <row r="11" spans="1:2">
      <c r="A11" s="219">
        <v>67523.759999999995</v>
      </c>
      <c r="B11" s="217">
        <v>0.39475968565225644</v>
      </c>
    </row>
    <row r="12" spans="1:2">
      <c r="A12" s="219">
        <v>68874.240000000005</v>
      </c>
      <c r="B12" s="217">
        <v>0.38914330837635974</v>
      </c>
    </row>
    <row r="13" spans="1:2">
      <c r="A13" s="219">
        <v>70224.710000000006</v>
      </c>
      <c r="B13" s="217">
        <v>0.38352697268847086</v>
      </c>
    </row>
    <row r="14" spans="1:2">
      <c r="A14" s="219">
        <v>71575.19</v>
      </c>
      <c r="B14" s="217">
        <v>0.37791059541257416</v>
      </c>
    </row>
    <row r="15" spans="1:2">
      <c r="A15" s="219">
        <v>72925.66</v>
      </c>
      <c r="B15" s="217">
        <v>0.37229425972468522</v>
      </c>
    </row>
    <row r="16" spans="1:2">
      <c r="A16" s="219">
        <v>74276.14</v>
      </c>
      <c r="B16" s="217">
        <v>0.36667788244878857</v>
      </c>
    </row>
    <row r="17" spans="1:2">
      <c r="A17" s="219">
        <v>75626.61</v>
      </c>
      <c r="B17" s="217">
        <v>0.36106154676089963</v>
      </c>
    </row>
    <row r="18" spans="1:2">
      <c r="A18" s="219">
        <v>76977.09</v>
      </c>
      <c r="B18" s="217">
        <v>0.35544516948500299</v>
      </c>
    </row>
    <row r="19" spans="1:2">
      <c r="A19" s="219">
        <v>78327.56</v>
      </c>
      <c r="B19" s="217">
        <v>0.3498288337971141</v>
      </c>
    </row>
    <row r="20" spans="1:2">
      <c r="A20" s="219">
        <v>79678.039999999994</v>
      </c>
      <c r="B20" s="217">
        <v>0.34421245652121746</v>
      </c>
    </row>
    <row r="21" spans="1:2">
      <c r="A21" s="219">
        <v>81028.509999999995</v>
      </c>
      <c r="B21" s="217">
        <v>0.33859612083332846</v>
      </c>
    </row>
    <row r="22" spans="1:2">
      <c r="A22" s="219">
        <v>82378.990000000005</v>
      </c>
      <c r="B22" s="217">
        <v>0.33297974355743176</v>
      </c>
    </row>
    <row r="23" spans="1:2">
      <c r="A23" s="219">
        <v>83729.47</v>
      </c>
      <c r="B23" s="217">
        <v>0.32736336628153517</v>
      </c>
    </row>
    <row r="24" spans="1:2">
      <c r="A24" s="219">
        <v>85079.94</v>
      </c>
      <c r="B24" s="217">
        <v>0.32174703059364623</v>
      </c>
    </row>
    <row r="25" spans="1:2">
      <c r="A25" s="219">
        <v>86430.41</v>
      </c>
      <c r="B25" s="217">
        <v>0.31613069490575729</v>
      </c>
    </row>
    <row r="26" spans="1:2">
      <c r="A26" s="219">
        <v>87780.89</v>
      </c>
      <c r="B26" s="217">
        <v>0.31051431762986065</v>
      </c>
    </row>
    <row r="27" spans="1:2">
      <c r="A27" s="219">
        <v>89131.37</v>
      </c>
      <c r="B27" s="217">
        <v>0.30489794035396395</v>
      </c>
    </row>
    <row r="28" spans="1:2">
      <c r="A28" s="219">
        <v>90481.84</v>
      </c>
      <c r="B28" s="217">
        <v>0.29928160466607506</v>
      </c>
    </row>
    <row r="29" spans="1:2">
      <c r="A29" s="219">
        <v>91832.320000000007</v>
      </c>
      <c r="B29" s="217">
        <v>0.29366522739017831</v>
      </c>
    </row>
    <row r="30" spans="1:2">
      <c r="A30" s="219">
        <v>93182.79</v>
      </c>
      <c r="B30" s="217">
        <v>0.28804889170228942</v>
      </c>
    </row>
    <row r="31" spans="1:2">
      <c r="A31" s="219">
        <v>94533.27</v>
      </c>
      <c r="B31" s="217">
        <v>0.28243251442639272</v>
      </c>
    </row>
    <row r="32" spans="1:2">
      <c r="A32" s="219">
        <v>95883.74</v>
      </c>
      <c r="B32" s="217">
        <v>0.27681617873850378</v>
      </c>
    </row>
    <row r="33" spans="1:2">
      <c r="A33" s="219">
        <v>97234.22</v>
      </c>
      <c r="B33" s="217">
        <v>0.27119980146260714</v>
      </c>
    </row>
    <row r="34" spans="1:2">
      <c r="A34" s="219">
        <v>98584.69</v>
      </c>
      <c r="B34" s="217">
        <v>0.2655834657747182</v>
      </c>
    </row>
    <row r="35" spans="1:2">
      <c r="A35" s="219">
        <v>99935.17</v>
      </c>
      <c r="B35" s="217">
        <v>0.25996708849882161</v>
      </c>
    </row>
    <row r="36" spans="1:2">
      <c r="A36" s="219">
        <v>101285.64</v>
      </c>
      <c r="B36" s="217">
        <v>0.25435075281093267</v>
      </c>
    </row>
    <row r="37" spans="1:2">
      <c r="A37" s="219">
        <v>102636.12</v>
      </c>
      <c r="B37" s="217">
        <v>0.24873437553503602</v>
      </c>
    </row>
    <row r="38" spans="1:2">
      <c r="A38" s="219">
        <v>103986.59</v>
      </c>
      <c r="B38" s="217">
        <v>0.24311803984714705</v>
      </c>
    </row>
    <row r="39" spans="1:2">
      <c r="A39" s="219">
        <v>105337.07</v>
      </c>
      <c r="B39" s="217">
        <v>0.23750166257125035</v>
      </c>
    </row>
    <row r="40" spans="1:2">
      <c r="A40" s="219">
        <v>106687.54</v>
      </c>
      <c r="B40" s="217">
        <v>0.23188532688336147</v>
      </c>
    </row>
    <row r="41" spans="1:2">
      <c r="A41" s="219">
        <v>108038.02</v>
      </c>
      <c r="B41" s="217">
        <v>0.2262689496074648</v>
      </c>
    </row>
    <row r="42" spans="1:2">
      <c r="A42" s="219">
        <v>109388.49</v>
      </c>
      <c r="B42" s="217">
        <v>0.22065261391957583</v>
      </c>
    </row>
    <row r="43" spans="1:2">
      <c r="A43" s="219">
        <v>110738.97</v>
      </c>
      <c r="B43" s="217">
        <v>0.21503623664367921</v>
      </c>
    </row>
    <row r="44" spans="1:2">
      <c r="A44" s="219">
        <v>112089.44</v>
      </c>
      <c r="B44" s="217">
        <v>0.2094199009557903</v>
      </c>
    </row>
    <row r="45" spans="1:2">
      <c r="A45" s="219">
        <v>113439.92</v>
      </c>
      <c r="B45" s="217">
        <v>0.20380352367989366</v>
      </c>
    </row>
    <row r="46" spans="1:2">
      <c r="A46" s="219">
        <v>114790.39</v>
      </c>
      <c r="B46" s="217">
        <v>0.19818718799200469</v>
      </c>
    </row>
    <row r="47" spans="1:2">
      <c r="A47" s="219">
        <v>116140.87</v>
      </c>
      <c r="B47" s="217">
        <v>0.19257081071610807</v>
      </c>
    </row>
    <row r="48" spans="1:2">
      <c r="A48" s="219">
        <v>117491.34</v>
      </c>
      <c r="B48" s="217">
        <v>0.1869544750282191</v>
      </c>
    </row>
    <row r="49" spans="1:2">
      <c r="A49" s="219">
        <v>118841.82</v>
      </c>
      <c r="B49" s="217">
        <v>0.18133809775232243</v>
      </c>
    </row>
    <row r="50" spans="1:2">
      <c r="A50" s="219">
        <v>120192.3</v>
      </c>
      <c r="B50" s="217">
        <v>0.17572172047642565</v>
      </c>
    </row>
    <row r="51" spans="1:2">
      <c r="A51" s="219">
        <v>121542.77</v>
      </c>
      <c r="B51" s="217">
        <v>0.17010538478853676</v>
      </c>
    </row>
    <row r="52" spans="1:2">
      <c r="A52" s="219">
        <v>122893.25</v>
      </c>
      <c r="B52" s="217">
        <v>0.16448900751264006</v>
      </c>
    </row>
    <row r="53" spans="1:2">
      <c r="A53" s="219">
        <v>124243.72</v>
      </c>
      <c r="B53" s="217">
        <v>0.1588726718247512</v>
      </c>
    </row>
    <row r="54" spans="1:2">
      <c r="A54" s="219">
        <v>125594.2</v>
      </c>
      <c r="B54" s="217">
        <v>0.1532562945488545</v>
      </c>
    </row>
    <row r="55" spans="1:2">
      <c r="A55" s="219">
        <v>126944.67</v>
      </c>
      <c r="B55" s="217">
        <v>0.14763995886096562</v>
      </c>
    </row>
    <row r="56" spans="1:2">
      <c r="A56" s="219">
        <v>128295.15</v>
      </c>
      <c r="B56" s="217">
        <v>0.14202358158506895</v>
      </c>
    </row>
    <row r="57" spans="1:2">
      <c r="A57" s="219">
        <v>129645.62</v>
      </c>
      <c r="B57" s="217">
        <v>0.13640724589718001</v>
      </c>
    </row>
    <row r="58" spans="1:2">
      <c r="A58" s="219">
        <v>130996.1</v>
      </c>
      <c r="B58" s="217">
        <v>0.13079086862128328</v>
      </c>
    </row>
    <row r="59" spans="1:2">
      <c r="A59" s="219">
        <v>132346.57</v>
      </c>
      <c r="B59" s="217">
        <v>0.12517453293339437</v>
      </c>
    </row>
    <row r="60" spans="1:2">
      <c r="A60" s="219">
        <v>133697.04999999999</v>
      </c>
      <c r="B60" s="217">
        <v>0.11955815565749778</v>
      </c>
    </row>
    <row r="61" spans="1:2">
      <c r="A61" s="219">
        <v>135047.51999999999</v>
      </c>
      <c r="B61" s="217">
        <v>0.11394181996960884</v>
      </c>
    </row>
    <row r="62" spans="1:2">
      <c r="A62" s="219">
        <v>136398</v>
      </c>
      <c r="B62" s="217">
        <v>0.10832544269371214</v>
      </c>
    </row>
    <row r="63" spans="1:2">
      <c r="A63" s="219">
        <v>137748.47</v>
      </c>
      <c r="B63" s="217">
        <v>0.1027091070058232</v>
      </c>
    </row>
    <row r="64" spans="1:2">
      <c r="A64" s="219">
        <v>139098.95000000001</v>
      </c>
      <c r="B64" s="217">
        <v>9.7092729729926483E-2</v>
      </c>
    </row>
    <row r="65" spans="1:2">
      <c r="A65" s="219">
        <v>140449.42000000001</v>
      </c>
      <c r="B65" s="217">
        <v>9.1476394042037501E-2</v>
      </c>
    </row>
    <row r="66" spans="1:2">
      <c r="A66" s="219">
        <v>141799.9</v>
      </c>
      <c r="B66" s="217">
        <v>8.5860016766140981E-2</v>
      </c>
    </row>
    <row r="67" spans="1:2">
      <c r="A67" s="219">
        <v>143150.37</v>
      </c>
      <c r="B67" s="217">
        <v>8.0243681078251985E-2</v>
      </c>
    </row>
    <row r="68" spans="1:2">
      <c r="A68" s="219">
        <v>144500.85</v>
      </c>
      <c r="B68" s="217">
        <v>7.4627303802355341E-2</v>
      </c>
    </row>
    <row r="69" spans="1:2">
      <c r="A69" s="219">
        <v>145851.32</v>
      </c>
      <c r="B69" s="217">
        <v>6.9010968114466345E-2</v>
      </c>
    </row>
    <row r="70" spans="1:2">
      <c r="A70" s="219">
        <v>147201.79999999999</v>
      </c>
      <c r="B70" s="217">
        <v>6.3394590838569839E-2</v>
      </c>
    </row>
    <row r="71" spans="1:2">
      <c r="A71" s="219">
        <v>148552.26999999999</v>
      </c>
      <c r="B71" s="217">
        <v>5.7778255150680836E-2</v>
      </c>
    </row>
    <row r="72" spans="1:2">
      <c r="A72" s="219">
        <v>149902.75</v>
      </c>
      <c r="B72" s="217">
        <v>5.2161877874784192E-2</v>
      </c>
    </row>
    <row r="73" spans="1:2">
      <c r="A73" s="219">
        <v>151253.23000000001</v>
      </c>
      <c r="B73" s="217">
        <v>4.6545500598887429E-2</v>
      </c>
    </row>
    <row r="74" spans="1:2">
      <c r="A74" s="219">
        <v>152603.70000000001</v>
      </c>
      <c r="B74" s="217">
        <v>4.0929164910998551E-2</v>
      </c>
    </row>
    <row r="75" spans="1:2">
      <c r="A75" s="219">
        <v>153954.18</v>
      </c>
      <c r="B75" s="217">
        <v>3.5312787635101914E-2</v>
      </c>
    </row>
    <row r="76" spans="1:2">
      <c r="A76" s="219">
        <v>155304.65</v>
      </c>
      <c r="B76" s="217">
        <v>2.9696451947213043E-2</v>
      </c>
    </row>
    <row r="77" spans="1:2">
      <c r="A77" s="219">
        <v>156655.13</v>
      </c>
      <c r="B77" s="217">
        <v>2.4080074671316277E-2</v>
      </c>
    </row>
    <row r="78" spans="1:2">
      <c r="A78" s="219">
        <v>158005.6</v>
      </c>
      <c r="B78" s="217">
        <v>1.8463738983427402E-2</v>
      </c>
    </row>
    <row r="79" spans="1:2">
      <c r="A79" s="219">
        <v>159356.07999999999</v>
      </c>
      <c r="B79" s="217">
        <v>1.2847361707530765E-2</v>
      </c>
    </row>
    <row r="80" spans="1:2">
      <c r="A80" s="219">
        <v>160706.54999999999</v>
      </c>
      <c r="B80" s="217">
        <v>7.2310260196417646E-3</v>
      </c>
    </row>
    <row r="81" spans="1:2">
      <c r="A81" s="219">
        <v>162057.03</v>
      </c>
      <c r="B81" s="217">
        <v>1.6146487437451258E-3</v>
      </c>
    </row>
    <row r="82" spans="1:2">
      <c r="A82" s="219">
        <v>163407.5</v>
      </c>
      <c r="B82" s="217">
        <v>-4.0016869441438759E-3</v>
      </c>
    </row>
    <row r="83" spans="1:2">
      <c r="A83" s="219">
        <v>164757.98000000001</v>
      </c>
      <c r="B83" s="217">
        <v>-9.6180642200405144E-3</v>
      </c>
    </row>
    <row r="84" spans="1:2">
      <c r="A84" s="219">
        <v>166108.45000000001</v>
      </c>
      <c r="B84" s="217">
        <v>-1.5234399907929517E-2</v>
      </c>
    </row>
    <row r="85" spans="1:2">
      <c r="A85" s="219">
        <v>167458.93</v>
      </c>
      <c r="B85" s="217">
        <v>-2.0850777183826025E-2</v>
      </c>
    </row>
    <row r="86" spans="1:2">
      <c r="A86" s="219">
        <v>168809.4</v>
      </c>
      <c r="B86" s="217">
        <v>-2.6467112871715024E-2</v>
      </c>
    </row>
    <row r="87" spans="1:2">
      <c r="A87" s="219">
        <v>170159.88</v>
      </c>
      <c r="B87" s="217">
        <v>-3.2083490147611665E-2</v>
      </c>
    </row>
    <row r="88" spans="1:2">
      <c r="A88" s="219">
        <v>171510.35</v>
      </c>
      <c r="B88" s="217">
        <v>-3.7699825835500668E-2</v>
      </c>
    </row>
    <row r="89" spans="1:2">
      <c r="A89" s="219">
        <v>172860.83</v>
      </c>
      <c r="B89" s="217">
        <v>-4.3316203111397174E-2</v>
      </c>
    </row>
    <row r="90" spans="1:2">
      <c r="A90" s="219">
        <v>174211.31</v>
      </c>
      <c r="B90" s="217">
        <v>-4.8932580387293943E-2</v>
      </c>
    </row>
    <row r="91" spans="1:2">
      <c r="A91" s="219">
        <v>175561.78</v>
      </c>
      <c r="B91" s="217">
        <v>-5.4548916075182807E-2</v>
      </c>
    </row>
    <row r="92" spans="1:2">
      <c r="A92" s="219">
        <v>176912.25</v>
      </c>
      <c r="B92" s="217">
        <v>-6.0165251763071817E-2</v>
      </c>
    </row>
    <row r="93" spans="1:2">
      <c r="A93" s="219">
        <v>178262.73</v>
      </c>
      <c r="B93" s="217">
        <v>-6.5781629038968462E-2</v>
      </c>
    </row>
    <row r="94" spans="1:2">
      <c r="A94" s="219">
        <v>179613.21</v>
      </c>
      <c r="B94" s="217">
        <v>-7.1398006314865092E-2</v>
      </c>
    </row>
    <row r="95" spans="1:2">
      <c r="A95" s="219">
        <v>180963.68</v>
      </c>
      <c r="B95" s="217">
        <v>-7.7014342002753977E-2</v>
      </c>
    </row>
    <row r="96" spans="1:2">
      <c r="A96" s="219">
        <v>182314.16</v>
      </c>
      <c r="B96" s="217">
        <v>-8.2630719278650733E-2</v>
      </c>
    </row>
    <row r="97" spans="1:2">
      <c r="A97" s="219">
        <v>183664.63</v>
      </c>
      <c r="B97" s="217">
        <v>-8.8247054966539604E-2</v>
      </c>
    </row>
    <row r="98" spans="1:2">
      <c r="A98" s="219">
        <v>185015.1</v>
      </c>
      <c r="B98" s="217">
        <v>-9.3863390654428613E-2</v>
      </c>
    </row>
    <row r="99" spans="1:2">
      <c r="A99" s="219">
        <v>186365.58</v>
      </c>
      <c r="B99" s="217">
        <v>-9.9479767930325244E-2</v>
      </c>
    </row>
    <row r="100" spans="1:2">
      <c r="A100" s="219">
        <v>187716.06</v>
      </c>
      <c r="B100" s="217">
        <v>-0.10509614520622189</v>
      </c>
    </row>
    <row r="101" spans="1:2">
      <c r="A101" s="219">
        <v>189066.53</v>
      </c>
      <c r="B101" s="217">
        <v>-0.1107124808941109</v>
      </c>
    </row>
    <row r="102" spans="1:2">
      <c r="A102" s="219">
        <v>190417</v>
      </c>
      <c r="B102" s="217">
        <v>-0.11632881658199976</v>
      </c>
    </row>
    <row r="103" spans="1:2">
      <c r="A103" s="219">
        <v>191767.48</v>
      </c>
      <c r="B103" s="217">
        <v>-0.12194519385789652</v>
      </c>
    </row>
    <row r="104" spans="1:2">
      <c r="A104" s="219">
        <v>193117.96</v>
      </c>
      <c r="B104" s="217">
        <v>-0.12756157113379302</v>
      </c>
    </row>
    <row r="105" spans="1:2">
      <c r="A105" s="219">
        <v>194468.43</v>
      </c>
      <c r="B105" s="217">
        <v>-0.13317790682168204</v>
      </c>
    </row>
    <row r="106" spans="1:2">
      <c r="A106" s="219">
        <v>195818.91</v>
      </c>
      <c r="B106" s="217">
        <v>-0.13879428409757869</v>
      </c>
    </row>
    <row r="107" spans="1:2">
      <c r="A107" s="219">
        <v>197169.38</v>
      </c>
      <c r="B107" s="217">
        <v>-0.14441061978546768</v>
      </c>
    </row>
    <row r="108" spans="1:2">
      <c r="A108" s="219">
        <v>198519.86</v>
      </c>
      <c r="B108" s="217">
        <v>-0.15002699706136419</v>
      </c>
    </row>
    <row r="109" spans="1:2">
      <c r="A109" s="219">
        <v>199870.33</v>
      </c>
      <c r="B109" s="217">
        <v>-0.15564333274925318</v>
      </c>
    </row>
    <row r="110" spans="1:2">
      <c r="A110" s="219">
        <v>201220.81</v>
      </c>
      <c r="B110" s="217">
        <v>-0.16125971002514983</v>
      </c>
    </row>
    <row r="111" spans="1:2">
      <c r="A111" s="219">
        <v>202571.28</v>
      </c>
      <c r="B111" s="217">
        <v>-0.16687604571303882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7</vt:i4>
      </vt:variant>
      <vt:variant>
        <vt:lpstr>Named Ranges</vt:lpstr>
      </vt:variant>
      <vt:variant>
        <vt:i4>36</vt:i4>
      </vt:variant>
    </vt:vector>
  </HeadingPairs>
  <TitlesOfParts>
    <vt:vector size="52" baseType="lpstr">
      <vt:lpstr>CAPITAL COST</vt:lpstr>
      <vt:lpstr>VARIABLE COST</vt:lpstr>
      <vt:lpstr>FIXED COST</vt:lpstr>
      <vt:lpstr>CASH FLOW</vt:lpstr>
      <vt:lpstr>S1</vt:lpstr>
      <vt:lpstr>S2</vt:lpstr>
      <vt:lpstr>S3</vt:lpstr>
      <vt:lpstr>S4</vt:lpstr>
      <vt:lpstr>S5</vt:lpstr>
      <vt:lpstr>CASH CHART</vt:lpstr>
      <vt:lpstr>CUMULATIVE CASH FLOW</vt:lpstr>
      <vt:lpstr>TDC vs NPV C3</vt:lpstr>
      <vt:lpstr>TVC vs NPV C4</vt:lpstr>
      <vt:lpstr>kWh vs ROI C2</vt:lpstr>
      <vt:lpstr>TDC vs ROI C1</vt:lpstr>
      <vt:lpstr>TVC vs ROI C5</vt:lpstr>
      <vt:lpstr>AnnCap</vt:lpstr>
      <vt:lpstr>CAP</vt:lpstr>
      <vt:lpstr>Days</vt:lpstr>
      <vt:lpstr>FIXED</vt:lpstr>
      <vt:lpstr>GUESS</vt:lpstr>
      <vt:lpstr>HourCap</vt:lpstr>
      <vt:lpstr>IncomeTax</vt:lpstr>
      <vt:lpstr>INFL</vt:lpstr>
      <vt:lpstr>INVENTORY</vt:lpstr>
      <vt:lpstr>INVEST</vt:lpstr>
      <vt:lpstr>LangFactorTable</vt:lpstr>
      <vt:lpstr>NPV_MACRO</vt:lpstr>
      <vt:lpstr>OpHours</vt:lpstr>
      <vt:lpstr>ProcessingType</vt:lpstr>
      <vt:lpstr>Product</vt:lpstr>
      <vt:lpstr>replace_factor</vt:lpstr>
      <vt:lpstr>ROIFIXED</vt:lpstr>
      <vt:lpstr>salvage</vt:lpstr>
      <vt:lpstr>salvage_perct</vt:lpstr>
      <vt:lpstr>SELL</vt:lpstr>
      <vt:lpstr>SiteFactor</vt:lpstr>
      <vt:lpstr>Sites</vt:lpstr>
      <vt:lpstr>Spares</vt:lpstr>
      <vt:lpstr>SPINFL</vt:lpstr>
      <vt:lpstr>TARGET</vt:lpstr>
      <vt:lpstr>TOTINVEST</vt:lpstr>
      <vt:lpstr>Units</vt:lpstr>
      <vt:lpstr>VARIABLE</vt:lpstr>
      <vt:lpstr>WORKCAP</vt:lpstr>
      <vt:lpstr>YEAR1</vt:lpstr>
      <vt:lpstr>YEAR2</vt:lpstr>
      <vt:lpstr>YEAR3</vt:lpstr>
      <vt:lpstr>YEAR4</vt:lpstr>
      <vt:lpstr>YEAR5</vt:lpstr>
      <vt:lpstr>YEAR6</vt:lpstr>
      <vt:lpstr>yr1_replace_factor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Reaction-Web</dc:title>
  <dc:creator>F. M. JULIAN</dc:creator>
  <cp:lastModifiedBy>Microsoft Office User</cp:lastModifiedBy>
  <cp:lastPrinted>2004-08-16T20:49:59Z</cp:lastPrinted>
  <dcterms:created xsi:type="dcterms:W3CDTF">1998-12-22T20:31:51Z</dcterms:created>
  <dcterms:modified xsi:type="dcterms:W3CDTF">2021-12-11T19:45:21Z</dcterms:modified>
</cp:coreProperties>
</file>